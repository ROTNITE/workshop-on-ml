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fb626c3b5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8abf299fe6a447df"/>
    <x:sheet xmlns:r="http://schemas.openxmlformats.org/officeDocument/2006/relationships" name="Все варианты" sheetId="2" r:id="Rf2bfc522a68b411a"/>
    <x:sheet xmlns:r="http://schemas.openxmlformats.org/officeDocument/2006/relationships" name="Значимость" sheetId="3" r:id="Rb1fef0d7fe614717"/>
    <x:sheet xmlns:r="http://schemas.openxmlformats.org/officeDocument/2006/relationships" name="Корреляции" sheetId="4" r:id="R0936f0db2644493e"/>
    <x:sheet xmlns:r="http://schemas.openxmlformats.org/officeDocument/2006/relationships" name="Прогноз test" sheetId="5" r:id="R8233da7a4aaa4a1f"/>
    <x:sheet xmlns:r="http://schemas.openxmlformats.org/officeDocument/2006/relationships" name="Отбор LOOCV" sheetId="6" r:id="R11d93e8ef47c49ee"/>
    <x:sheet xmlns:r="http://schemas.openxmlformats.org/officeDocument/2006/relationships" name="Данные" sheetId="7" r:id="Rbbe4e9bad6d0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"/>
    <x:numFmt numFmtId="202" formatCode="0.000000"/>
    <x:numFmt numFmtId="203" formatCode="0.00000"/>
    <x:numFmt numFmtId="204" formatCode="0.000E+00"/>
    <x:numFmt numFmtId="205" formatCode="0.00"/>
    <x:numFmt numFmtId="206" formatCode="0.000"/>
    <x:numFmt numFmtId="207" formatCode="0.0%"/>
    <x:numFmt numFmtId="208" formatCode="0.0"/>
  </x:numFmts>
  <x:fonts count="5">
    <x:font>
      <x:sz val="11"/>
      <x:name val="Carlito"/>
    </x:font>
    <x:font>
      <x:sz val="16"/>
      <x:color rgb="FF17263C"/>
      <x:name val="Arial"/>
    </x:font>
    <x:font>
      <x:sz val="11"/>
      <x:color rgb="FF17263C"/>
      <x:name val="Arial"/>
    </x:font>
    <x:font>
      <x:b/>
      <x:sz val="11"/>
      <x:color rgb="FFFFFFFF"/>
      <x:name val="Arial"/>
    </x:font>
    <x:font>
      <x:sz val="13"/>
      <x:color rgb="FF17263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E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2" fontId="2" fillId="3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3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3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6" fontId="2" fillId="3" borderId="0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/>
    <x:xf numFmtId="207" fontId="2" fillId="3" borderId="0" xfId="0" applyNumberFormat="1" applyFont="1" applyFill="1" applyBorder="1" applyAlignment="1">
      <x:alignment vertical="center"/>
    </x:xf>
    <x:xf numFmtId="207" fontId="2" fillId="0" borderId="0" xfId="0" applyNumberFormat="1" applyFont="1" applyFill="1" applyBorder="1" applyAlignment="1">
      <x:alignment vertical="center"/>
    </x:xf>
    <x:xf numFmtId="208" fontId="2" fillId="3" borderId="0" xfId="0" applyNumberFormat="1" applyFont="1" applyFill="1" applyBorder="1" applyAlignment="1">
      <x:alignment vertical="center"/>
    </x:xf>
    <x:xf numFmtId="208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c5b005ffb4868" /><Relationship Type="http://schemas.openxmlformats.org/officeDocument/2006/relationships/theme" Target="/xl/theme/theme1.xml" Id="R5d15bce780d14ac5" /><Relationship Type="http://schemas.microsoft.com/office/2022/11/relationships/FeaturePropertyBag" Target="/xl/featurePropertyBag/featurePropertyBag.xml" Id="R5195a92680b74132" /><Relationship Type="http://schemas.openxmlformats.org/officeDocument/2006/relationships/sharedStrings" Target="/xl/sharedStrings.xml" Id="Rff84061a26154550" /><Relationship Type="http://schemas.openxmlformats.org/officeDocument/2006/relationships/worksheet" Target="/xl/worksheets/sheet1.xml" Id="R8abf299fe6a447df" /><Relationship Type="http://schemas.openxmlformats.org/officeDocument/2006/relationships/worksheet" Target="/xl/worksheets/sheet2.xml" Id="Rf2bfc522a68b411a" /><Relationship Type="http://schemas.openxmlformats.org/officeDocument/2006/relationships/worksheet" Target="/xl/worksheets/sheet3.xml" Id="Rb1fef0d7fe614717" /><Relationship Type="http://schemas.openxmlformats.org/officeDocument/2006/relationships/worksheet" Target="/xl/worksheets/sheet4.xml" Id="R0936f0db2644493e" /><Relationship Type="http://schemas.openxmlformats.org/officeDocument/2006/relationships/worksheet" Target="/xl/worksheets/sheet5.xml" Id="R8233da7a4aaa4a1f" /><Relationship Type="http://schemas.openxmlformats.org/officeDocument/2006/relationships/worksheet" Target="/xl/worksheets/sheet6.xml" Id="R11d93e8ef47c49ee" /><Relationship Type="http://schemas.openxmlformats.org/officeDocument/2006/relationships/worksheet" Target="/xl/worksheets/sheet7.xml" Id="Rbbe4e9bad6d044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9c66df4a974e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LOOCV лучших по validation конфигураций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LOOCV, тыс. руб.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'Итог'!$A$6:$A$10</c:f>
              <c:strCache>
                <c:ptCount val="0"/>
              </c:strCache>
            </c:strRef>
          </c:cat>
          <c:val>
            <c:numRef>
              <c:f>'Итог'!$D$6:$D$10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6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9c66df4a974ed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a53926a4f84375" /></Relationships>
</file>

<file path=xl/worksheets/sheet1.xml><?xml version="1.0" encoding="utf-8"?>
<x:worksheet xmlns:x="http://schemas.openxmlformats.org/spreadsheetml/2006/main">
  <x:sheetPr>
    <x:tabColor rgb="FF20364E"/>
  </x:sheetPr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3" hidden="0" customWidth="1"/>
    <x:col min="4" max="4" width="22" hidden="0" customWidth="1"/>
    <x:col min="5" max="5" width="16" hidden="0" customWidth="1"/>
    <x:col min="6" max="6" width="18" hidden="0" customWidth="1"/>
  </x:cols>
  <x:sheetData>
    <x:row r="1" ht="10" customHeight="1"/>
    <x:row r="2">
      <x:c r="A2" s="1" t="str">
        <x:v>Градиентный спуск: итог исследования</x:v>
      </x:c>
    </x:row>
    <x:row r="3">
      <x:c r="A3" s="2" t="str">
        <x:v>Выбор по MSE validation. LOOCV — повторный отбор и обучение внутри каждого fold.</x:v>
      </x:c>
    </x:row>
    <x:row r="5" ht="44" customHeight="1">
      <x:c r="A5" s="7" t="str">
        <x:v>Метод</x:v>
      </x:c>
      <x:c r="B5" s="7" t="str">
        <x:v>Шаг</x:v>
      </x:c>
      <x:c r="C5" s="7" t="str">
        <x:v>RMSE val, тыс. руб.</x:v>
      </x:c>
      <x:c r="D5" s="7" t="str">
        <x:v>LOOCV, тыс. руб.</x:v>
      </x:c>
      <x:c r="E5" s="7" t="str">
        <x:v>R² val</x:v>
      </x:c>
      <x:c r="F5" s="7" t="str">
        <x:v>Обновления</x:v>
      </x:c>
    </x:row>
    <x:row r="6" ht="23" customHeight="1">
      <x:c r="A6" s="9" t="str">
        <x:v>SAG</x:v>
      </x:c>
      <x:c r="B6" s="9" t="str">
        <x:v>η = 0.01</x:v>
      </x:c>
      <x:c r="C6" s="10" t="n">
        <x:v>449.03603156945496</x:v>
      </x:c>
      <x:c r="D6" s="10" t="n">
        <x:v>617.0491107085853</x:v>
      </x:c>
      <x:c r="E6" s="10" t="n">
        <x:v>0.9943096138604568</x:v>
      </x:c>
      <x:c r="F6" s="11" t="n">
        <x:v>10000</x:v>
      </x:c>
    </x:row>
    <x:row r="7" ht="23" customHeight="1">
      <x:c r="A7" s="3" t="str">
        <x:v>Adam</x:v>
      </x:c>
      <x:c r="B7" s="3" t="str">
        <x:v>η(k) = 0.01/√(1+k)</x:v>
      </x:c>
      <x:c r="C7" s="8" t="n">
        <x:v>449.12862894612545</x:v>
      </x:c>
      <x:c r="D7" s="8" t="n">
        <x:v>617.0924155620393</x:v>
      </x:c>
      <x:c r="E7" s="8" t="n">
        <x:v>0.9943072667474403</x:v>
      </x:c>
      <x:c r="F7" s="12" t="n">
        <x:v>9050</x:v>
      </x:c>
    </x:row>
    <x:row r="8" ht="23" customHeight="1">
      <x:c r="A8" s="9" t="str">
        <x:v>Momentum</x:v>
      </x:c>
      <x:c r="B8" s="9" t="str">
        <x:v>η(k) = 0.1/√(1+k)</x:v>
      </x:c>
      <x:c r="C8" s="10" t="n">
        <x:v>449.12864105967026</x:v>
      </x:c>
      <x:c r="D8" s="10" t="n">
        <x:v>617.092416913593</x:v>
      </x:c>
      <x:c r="E8" s="10" t="n">
        <x:v>0.9943072664403604</x:v>
      </x:c>
      <x:c r="F8" s="11" t="n">
        <x:v>350</x:v>
      </x:c>
    </x:row>
    <x:row r="9" ht="23" customHeight="1">
      <x:c r="A9" s="3" t="str">
        <x:v>VGD</x:v>
      </x:c>
      <x:c r="B9" s="3" t="str">
        <x:v>η = 0.001</x:v>
      </x:c>
      <x:c r="C9" s="8" t="n">
        <x:v>449.1286522157107</x:v>
      </x:c>
      <x:c r="D9" s="8" t="n">
        <x:v>617.092443732882</x:v>
      </x:c>
      <x:c r="E9" s="8" t="n">
        <x:v>0.9943072661575534</x:v>
      </x:c>
      <x:c r="F9" s="12" t="n">
        <x:v>9500</x:v>
      </x:c>
    </x:row>
    <x:row r="10" ht="23" customHeight="1">
      <x:c r="A10" s="9" t="str">
        <x:v>SGD</x:v>
      </x:c>
      <x:c r="B10" s="9" t="str">
        <x:v>η(k) = 0.1/√(1+k)</x:v>
      </x:c>
      <x:c r="C10" s="10" t="n">
        <x:v>449.3494076643237</x:v>
      </x:c>
      <x:c r="D10" s="10" t="n">
        <x:v>616.5301534118792</x:v>
      </x:c>
      <x:c r="E10" s="10" t="n">
        <x:v>0.9943016686039182</x:v>
      </x:c>
      <x:c r="F10" s="11" t="n">
        <x:v>10000</x:v>
      </x:c>
    </x:row>
    <x:row r="13">
      <x:c r="A13" s="13" t="str">
        <x:v>Победитель: SAG, η = 0.01</x:v>
      </x:c>
    </x:row>
    <x:row r="15" ht="44" customHeight="1">
      <x:c r="A15" s="7" t="str">
        <x:v>Test</x:v>
      </x:c>
      <x:c r="B15" s="7" t="str">
        <x:v>Значение</x:v>
      </x:c>
      <x:c r="C15" s="7" t="str">
        <x:v>Единица</x:v>
      </x:c>
    </x:row>
    <x:row r="16" ht="23" customHeight="1">
      <x:c r="A16" s="9" t="str">
        <x:v>R²</x:v>
      </x:c>
      <x:c r="B16" s="14" t="n">
        <x:f>'Прогноз test'!K6</x:f>
        <x:v>0.9940989431438523</x:v>
      </x:c>
      <x:c r="C16" s="9" t="str">
        <x:v>доля</x:v>
      </x:c>
    </x:row>
    <x:row r="17" ht="23" customHeight="1">
      <x:c r="A17" s="3" t="str">
        <x:v>RMSE</x:v>
      </x:c>
      <x:c r="B17" s="15" t="n">
        <x:f>'Прогноз test'!K7</x:f>
        <x:v>469.2258456506479</x:v>
      </x:c>
      <x:c r="C17" s="3" t="str">
        <x:v>тыс. руб.</x:v>
      </x:c>
    </x:row>
    <x:row r="18" ht="23" customHeight="1">
      <x:c r="A18" s="9" t="str">
        <x:v>MAE</x:v>
      </x:c>
      <x:c r="B18" s="14" t="n">
        <x:f>'Прогноз test'!K8</x:f>
        <x:v>375.6988449315399</x:v>
      </x:c>
      <x:c r="C18" s="9" t="str">
        <x:v>тыс. руб.</x:v>
      </x:c>
    </x:row>
  </x:sheetData>
  <x:pageMargins left="0.7" right="0.7" top="0.75" bottom="0.75" header="0.3" footer="0.3"/>
  <x:drawing xmlns:r="http://schemas.openxmlformats.org/officeDocument/2006/relationships" r:id="R43a53926a4f8437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32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</x:cols>
  <x:sheetData>
    <x:row r="1" ht="10" customHeight="1"/>
    <x:row r="2">
      <x:c r="A2" s="1" t="str">
        <x:v>Все 60 конфигураций</x:v>
      </x:c>
    </x:row>
    <x:row r="3">
      <x:c r="A3" s="2" t="str">
        <x:v>Статус max_iter — бюджет исчерпан; diverged — численная расходимость. Пустая метрика недоступна.</x:v>
      </x:c>
    </x:row>
    <x:row r="5" ht="44" customHeight="1">
      <x:c r="A5" s="7" t="str">
        <x:v>Метод</x:v>
      </x:c>
      <x:c r="B5" s="7" t="str">
        <x:v>Тип шага</x:v>
      </x:c>
      <x:c r="C5" s="7" t="str">
        <x:v>lambda</x:v>
      </x:c>
      <x:c r="D5" s="7" t="str">
        <x:v>Шаг</x:v>
      </x:c>
      <x:c r="E5" s="7" t="str">
        <x:v>R2_train</x:v>
      </x:c>
      <x:c r="F5" s="7" t="str">
        <x:v>R2_val</x:v>
      </x:c>
      <x:c r="G5" s="7" t="str">
        <x:v>RMSE_val</x:v>
      </x:c>
      <x:c r="H5" s="7" t="str">
        <x:v>RMSE_CV</x:v>
      </x:c>
      <x:c r="I5" s="7" t="str">
        <x:v>MSE_train</x:v>
      </x:c>
      <x:c r="J5" s="7" t="str">
        <x:v>MSE_val</x:v>
      </x:c>
      <x:c r="K5" s="7" t="str">
        <x:v>Итерации</x:v>
      </x:c>
      <x:c r="L5" s="7" t="str">
        <x:v>Статус</x:v>
      </x:c>
      <x:c r="M5" s="7" t="str">
        <x:v>CV_diverged</x:v>
      </x:c>
      <x:c r="N5" s="7" t="str">
        <x:v>CV_max_iter</x:v>
      </x:c>
      <x:c r="O5" s="7" t="str">
        <x:v>Допущен</x:v>
      </x:c>
    </x:row>
    <x:row r="6" ht="23" customHeight="1">
      <x:c r="A6" s="9" t="str">
        <x:v>VGD</x:v>
      </x:c>
      <x:c r="B6" s="9" t="str">
        <x:v>constant</x:v>
      </x:c>
      <x:c r="C6" s="20" t="n">
        <x:v>0.00001</x:v>
      </x:c>
      <x:c r="D6" s="9" t="str">
        <x:v>η = 1e-05</x:v>
      </x:c>
      <x:c r="E6" s="10" t="n">
        <x:v>0.32560860448604667</x:v>
      </x:c>
      <x:c r="F6" s="10" t="n">
        <x:v>0.30450932218532534</x:v>
      </x:c>
      <x:c r="G6" s="10" t="n">
        <x:v>4964.276682187756</x:v>
      </x:c>
      <x:c r="H6" s="10" t="n">
        <x:v>4778.26350622022</x:v>
      </x:c>
      <x:c r="I6" s="10" t="n">
        <x:v>22648335.48506503</x:v>
      </x:c>
      <x:c r="J6" s="10" t="n">
        <x:v>24644042.97731307</x:v>
      </x:c>
      <x:c r="K6" s="11" t="n">
        <x:v>10000</x:v>
      </x:c>
      <x:c r="L6" s="9" t="str">
        <x:v>max_iter</x:v>
      </x:c>
      <x:c r="M6" s="11" t="n">
        <x:v>0</x:v>
      </x:c>
      <x:c r="N6" s="11" t="n">
        <x:v>480</x:v>
      </x:c>
      <x:c r="O6" s="19" t="b">
        <x:v>1</x:v>
      </x:c>
    </x:row>
    <x:row r="7" ht="23" customHeight="1">
      <x:c r="A7" s="3" t="str">
        <x:v>VGD</x:v>
      </x:c>
      <x:c r="B7" s="3" t="str">
        <x:v>constant</x:v>
      </x:c>
      <x:c r="C7" s="21" t="n">
        <x:v>0.0001</x:v>
      </x:c>
      <x:c r="D7" s="3" t="str">
        <x:v>η = 0.0001</x:v>
      </x:c>
      <x:c r="E7" s="8" t="n">
        <x:v>0.9737597282885792</x:v>
      </x:c>
      <x:c r="F7" s="8" t="n">
        <x:v>0.9754536056123024</x:v>
      </x:c>
      <x:c r="G7" s="8" t="n">
        <x:v>932.6188218898194</x:v>
      </x:c>
      <x:c r="H7" s="8" t="n">
        <x:v>1026.6210548124361</x:v>
      </x:c>
      <x:c r="I7" s="8" t="n">
        <x:v>881236.743073519</x:v>
      </x:c>
      <x:c r="J7" s="8" t="n">
        <x:v>869777.8669431547</x:v>
      </x:c>
      <x:c r="K7" s="12" t="n">
        <x:v>10000</x:v>
      </x:c>
      <x:c r="L7" s="3" t="str">
        <x:v>max_iter</x:v>
      </x:c>
      <x:c r="M7" s="12" t="n">
        <x:v>0</x:v>
      </x:c>
      <x:c r="N7" s="12" t="n">
        <x:v>480</x:v>
      </x:c>
      <x:c r="O7" s="18" t="b">
        <x:v>1</x:v>
      </x:c>
    </x:row>
    <x:row r="8" ht="23" customHeight="1">
      <x:c r="A8" s="9" t="str">
        <x:v>VGD</x:v>
      </x:c>
      <x:c r="B8" s="9" t="str">
        <x:v>constant</x:v>
      </x:c>
      <x:c r="C8" s="20" t="n">
        <x:v>0.001</x:v>
      </x:c>
      <x:c r="D8" s="9" t="str">
        <x:v>η = 0.001</x:v>
      </x:c>
      <x:c r="E8" s="10" t="n">
        <x:v>0.9937237887925204</x:v>
      </x:c>
      <x:c r="F8" s="10" t="n">
        <x:v>0.9943072661575534</x:v>
      </x:c>
      <x:c r="G8" s="10" t="n">
        <x:v>449.1286522157107</x:v>
      </x:c>
      <x:c r="H8" s="10" t="n">
        <x:v>617.092443732882</x:v>
      </x:c>
      <x:c r="I8" s="10" t="n">
        <x:v>210776.32061689202</x:v>
      </x:c>
      <x:c r="J8" s="10" t="n">
        <x:v>201716.54624110082</x:v>
      </x:c>
      <x:c r="K8" s="11" t="n">
        <x:v>9500</x:v>
      </x:c>
      <x:c r="L8" s="9" t="str">
        <x:v>converged</x:v>
      </x:c>
      <x:c r="M8" s="11" t="n">
        <x:v>0</x:v>
      </x:c>
      <x:c r="N8" s="11" t="n">
        <x:v>0</x:v>
      </x:c>
      <x:c r="O8" s="19" t="b">
        <x:v>1</x:v>
      </x:c>
    </x:row>
    <x:row r="9" ht="23" customHeight="1">
      <x:c r="A9" s="3" t="str">
        <x:v>VGD</x:v>
      </x:c>
      <x:c r="B9" s="3" t="str">
        <x:v>constant</x:v>
      </x:c>
      <x:c r="C9" s="21" t="n">
        <x:v>0.01</x:v>
      </x:c>
      <x:c r="D9" s="3" t="str">
        <x:v>η = 0.01</x:v>
      </x:c>
      <x:c r="E9" s="8" t="n">
        <x:v>0.9937237887925211</x:v>
      </x:c>
      <x:c r="F9" s="8" t="n">
        <x:v>0.9943072661242253</x:v>
      </x:c>
      <x:c r="G9" s="8" t="n">
        <x:v>449.1286535304247</x:v>
      </x:c>
      <x:c r="H9" s="8" t="n">
        <x:v>617.0924398813899</x:v>
      </x:c>
      <x:c r="I9" s="8" t="n">
        <x:v>210776.32061687106</x:v>
      </x:c>
      <x:c r="J9" s="8" t="n">
        <x:v>201716.54742205227</x:v>
      </x:c>
      <x:c r="K9" s="12" t="n">
        <x:v>950</x:v>
      </x:c>
      <x:c r="L9" s="3" t="str">
        <x:v>converged</x:v>
      </x:c>
      <x:c r="M9" s="12" t="n">
        <x:v>0</x:v>
      </x:c>
      <x:c r="N9" s="12" t="n">
        <x:v>0</x:v>
      </x:c>
      <x:c r="O9" s="18" t="b">
        <x:v>1</x:v>
      </x:c>
    </x:row>
    <x:row r="10" ht="23" customHeight="1">
      <x:c r="A10" s="9" t="str">
        <x:v>VGD</x:v>
      </x:c>
      <x:c r="B10" s="9" t="str">
        <x:v>constant</x:v>
      </x:c>
      <x:c r="C10" s="20" t="n">
        <x:v>0.1</x:v>
      </x:c>
      <x:c r="D10" s="9" t="str">
        <x:v>η = 0.1</x:v>
      </x:c>
      <x:c r="E10" s="10" t="n">
        <x:v>0.9937237887925233</x:v>
      </x:c>
      <x:c r="F10" s="10" t="n">
        <x:v>0.9943072659497064</x:v>
      </x:c>
      <x:c r="G10" s="10" t="n">
        <x:v>449.1286604147611</x:v>
      </x:c>
      <x:c r="H10" s="10" t="n">
        <x:v>617.0924254329035</x:v>
      </x:c>
      <x:c r="I10" s="10" t="n">
        <x:v>210776.32061679426</x:v>
      </x:c>
      <x:c r="J10" s="10" t="n">
        <x:v>201716.5536059578</x:v>
      </x:c>
      <x:c r="K10" s="11" t="n">
        <x:v>100</x:v>
      </x:c>
      <x:c r="L10" s="9" t="str">
        <x:v>converged</x:v>
      </x:c>
      <x:c r="M10" s="11" t="n">
        <x:v>0</x:v>
      </x:c>
      <x:c r="N10" s="11" t="n">
        <x:v>0</x:v>
      </x:c>
      <x:c r="O10" s="19" t="b">
        <x:v>1</x:v>
      </x:c>
    </x:row>
    <x:row r="11" ht="23" customHeight="1">
      <x:c r="A11" s="3" t="str">
        <x:v>VGD</x:v>
      </x:c>
      <x:c r="B11" s="3" t="str">
        <x:v>constant</x:v>
      </x:c>
      <x:c r="C11" s="21" t="n">
        <x:v>1</x:v>
      </x:c>
      <x:c r="D11" s="3" t="str">
        <x:v>η = 1</x:v>
      </x:c>
      <x:c r="E11" s="8"/>
      <x:c r="F11" s="8"/>
      <x:c r="G11" s="8"/>
      <x:c r="H11" s="8"/>
      <x:c r="I11" s="8"/>
      <x:c r="J11" s="8"/>
      <x:c r="K11" s="12" t="n">
        <x:v>100</x:v>
      </x:c>
      <x:c r="L11" s="3" t="str">
        <x:v>diverged</x:v>
      </x:c>
      <x:c r="M11" s="12" t="n">
        <x:v>480</x:v>
      </x:c>
      <x:c r="N11" s="12" t="n">
        <x:v>0</x:v>
      </x:c>
      <x:c r="O11" s="18" t="b">
        <x:v>0</x:v>
      </x:c>
    </x:row>
    <x:row r="12" ht="23" customHeight="1">
      <x:c r="A12" s="9" t="str">
        <x:v>VGD</x:v>
      </x:c>
      <x:c r="B12" s="9" t="str">
        <x:v>time_decay</x:v>
      </x:c>
      <x:c r="C12" s="20" t="n">
        <x:v>0.00001</x:v>
      </x:c>
      <x:c r="D12" s="9" t="str">
        <x:v>η(k) = 1e-05/√(1+k)</x:v>
      </x:c>
      <x:c r="E12" s="10" t="n">
        <x:v>0.007815100959477683</x:v>
      </x:c>
      <x:c r="F12" s="10" t="n">
        <x:v>-0.023653886736253016</x:v>
      </x:c>
      <x:c r="G12" s="10" t="n">
        <x:v>6022.639830802261</x:v>
      </x:c>
      <x:c r="H12" s="10" t="n">
        <x:v>5784.681033529476</x:v>
      </x:c>
      <x:c r="I12" s="10" t="n">
        <x:v>33320912.16786616</x:v>
      </x:c>
      <x:c r="J12" s="10" t="n">
        <x:v>36272190.53156589</x:v>
      </x:c>
      <x:c r="K12" s="11" t="n">
        <x:v>10000</x:v>
      </x:c>
      <x:c r="L12" s="9" t="str">
        <x:v>max_iter</x:v>
      </x:c>
      <x:c r="M12" s="11" t="n">
        <x:v>0</x:v>
      </x:c>
      <x:c r="N12" s="11" t="n">
        <x:v>480</x:v>
      </x:c>
      <x:c r="O12" s="19" t="b">
        <x:v>1</x:v>
      </x:c>
    </x:row>
    <x:row r="13" ht="23" customHeight="1">
      <x:c r="A13" s="3" t="str">
        <x:v>VGD</x:v>
      </x:c>
      <x:c r="B13" s="3" t="str">
        <x:v>time_decay</x:v>
      </x:c>
      <x:c r="C13" s="21" t="n">
        <x:v>0.0001</x:v>
      </x:c>
      <x:c r="D13" s="3" t="str">
        <x:v>η(k) = 0.0001/√(1+k)</x:v>
      </x:c>
      <x:c r="E13" s="8" t="n">
        <x:v>0.0754203285468511</x:v>
      </x:c>
      <x:c r="F13" s="8" t="n">
        <x:v>0.046098603807644856</x:v>
      </x:c>
      <x:c r="G13" s="8" t="n">
        <x:v>5813.826463180536</x:v>
      </x:c>
      <x:c r="H13" s="8" t="n">
        <x:v>5585.924618903173</x:v>
      </x:c>
      <x:c r="I13" s="8" t="n">
        <x:v>31050500.823462628</x:v>
      </x:c>
      <x:c r="J13" s="8" t="n">
        <x:v>33800578.1439783</x:v>
      </x:c>
      <x:c r="K13" s="12" t="n">
        <x:v>10000</x:v>
      </x:c>
      <x:c r="L13" s="3" t="str">
        <x:v>max_iter</x:v>
      </x:c>
      <x:c r="M13" s="12" t="n">
        <x:v>0</x:v>
      </x:c>
      <x:c r="N13" s="12" t="n">
        <x:v>480</x:v>
      </x:c>
      <x:c r="O13" s="18" t="b">
        <x:v>1</x:v>
      </x:c>
    </x:row>
    <x:row r="14" ht="23" customHeight="1">
      <x:c r="A14" s="9" t="str">
        <x:v>VGD</x:v>
      </x:c>
      <x:c r="B14" s="9" t="str">
        <x:v>time_decay</x:v>
      </x:c>
      <x:c r="C14" s="20" t="n">
        <x:v>0.001</x:v>
      </x:c>
      <x:c r="D14" s="9" t="str">
        <x:v>η(k) = 0.001/√(1+k)</x:v>
      </x:c>
      <x:c r="E14" s="10" t="n">
        <x:v>0.5413254212321766</x:v>
      </x:c>
      <x:c r="F14" s="10" t="n">
        <x:v>0.5277082051593598</x:v>
      </x:c>
      <x:c r="G14" s="10" t="n">
        <x:v>4090.8685285472534</x:v>
      </x:c>
      <x:c r="H14" s="10" t="n">
        <x:v>3950.071847402097</x:v>
      </x:c>
      <x:c r="I14" s="10" t="n">
        <x:v>15403837.901116304</x:v>
      </x:c>
      <x:c r="J14" s="10" t="n">
        <x:v>16735205.317858372</x:v>
      </x:c>
      <x:c r="K14" s="11" t="n">
        <x:v>10000</x:v>
      </x:c>
      <x:c r="L14" s="9" t="str">
        <x:v>max_iter</x:v>
      </x:c>
      <x:c r="M14" s="11" t="n">
        <x:v>0</x:v>
      </x:c>
      <x:c r="N14" s="11" t="n">
        <x:v>480</x:v>
      </x:c>
      <x:c r="O14" s="19" t="b">
        <x:v>1</x:v>
      </x:c>
    </x:row>
    <x:row r="15" ht="23" customHeight="1">
      <x:c r="A15" s="3" t="str">
        <x:v>VGD</x:v>
      </x:c>
      <x:c r="B15" s="3" t="str">
        <x:v>time_decay</x:v>
      </x:c>
      <x:c r="C15" s="21" t="n">
        <x:v>0.01</x:v>
      </x:c>
      <x:c r="D15" s="3" t="str">
        <x:v>η(k) = 0.01/√(1+k)</x:v>
      </x:c>
      <x:c r="E15" s="8" t="n">
        <x:v>0.9932387105046877</x:v>
      </x:c>
      <x:c r="F15" s="8" t="n">
        <x:v>0.9942352521651422</x:v>
      </x:c>
      <x:c r="G15" s="8" t="n">
        <x:v>451.9604991272706</x:v>
      </x:c>
      <x:c r="H15" s="8" t="n">
        <x:v>630.0973520966312</x:v>
      </x:c>
      <x:c r="I15" s="8" t="n">
        <x:v>227066.88403812947</x:v>
      </x:c>
      <x:c r="J15" s="8" t="n">
        <x:v>204268.2927713716</x:v>
      </x:c>
      <x:c r="K15" s="12" t="n">
        <x:v>10000</x:v>
      </x:c>
      <x:c r="L15" s="3" t="str">
        <x:v>max_iter</x:v>
      </x:c>
      <x:c r="M15" s="12" t="n">
        <x:v>0</x:v>
      </x:c>
      <x:c r="N15" s="12" t="n">
        <x:v>480</x:v>
      </x:c>
      <x:c r="O15" s="18" t="b">
        <x:v>1</x:v>
      </x:c>
    </x:row>
    <x:row r="16" ht="23" customHeight="1">
      <x:c r="A16" s="9" t="str">
        <x:v>VGD</x:v>
      </x:c>
      <x:c r="B16" s="9" t="str">
        <x:v>time_decay</x:v>
      </x:c>
      <x:c r="C16" s="20" t="n">
        <x:v>0.1</x:v>
      </x:c>
      <x:c r="D16" s="9" t="str">
        <x:v>η(k) = 0.1/√(1+k)</x:v>
      </x:c>
      <x:c r="E16" s="10" t="n">
        <x:v>0.9937237887925205</x:v>
      </x:c>
      <x:c r="F16" s="10" t="n">
        <x:v>0.9943072661481694</x:v>
      </x:c>
      <x:c r="G16" s="10" t="n">
        <x:v>449.12865258588533</x:v>
      </x:c>
      <x:c r="H16" s="10" t="n">
        <x:v>617.092441885886</x:v>
      </x:c>
      <x:c r="I16" s="10" t="n">
        <x:v>210776.32061688864</x:v>
      </x:c>
      <x:c r="J16" s="10" t="n">
        <x:v>201716.5465736129</x:v>
      </x:c>
      <x:c r="K16" s="11" t="n">
        <x:v>2300</x:v>
      </x:c>
      <x:c r="L16" s="9" t="str">
        <x:v>converged</x:v>
      </x:c>
      <x:c r="M16" s="11" t="n">
        <x:v>0</x:v>
      </x:c>
      <x:c r="N16" s="11" t="n">
        <x:v>0</x:v>
      </x:c>
      <x:c r="O16" s="19" t="b">
        <x:v>1</x:v>
      </x:c>
    </x:row>
    <x:row r="17" ht="23" customHeight="1">
      <x:c r="A17" s="3" t="str">
        <x:v>VGD</x:v>
      </x:c>
      <x:c r="B17" s="3" t="str">
        <x:v>time_decay</x:v>
      </x:c>
      <x:c r="C17" s="21" t="n">
        <x:v>1</x:v>
      </x:c>
      <x:c r="D17" s="3" t="str">
        <x:v>η(k) = 1/√(1+k)</x:v>
      </x:c>
      <x:c r="E17" s="8" t="n">
        <x:v>0.9937237887925233</x:v>
      </x:c>
      <x:c r="F17" s="8" t="n">
        <x:v>0.9943072659410457</x:v>
      </x:c>
      <x:c r="G17" s="8" t="n">
        <x:v>449.12866075640613</x:v>
      </x:c>
      <x:c r="H17" s="8" t="n">
        <x:v>617.0924234453249</x:v>
      </x:c>
      <x:c r="I17" s="8" t="n">
        <x:v>210776.32061679344</x:v>
      </x:c>
      <x:c r="J17" s="8" t="n">
        <x:v>201716.55391284294</x:v>
      </x:c>
      <x:c r="K17" s="12" t="n">
        <x:v>50</x:v>
      </x:c>
      <x:c r="L17" s="3" t="str">
        <x:v>converged</x:v>
      </x:c>
      <x:c r="M17" s="12" t="n">
        <x:v>0</x:v>
      </x:c>
      <x:c r="N17" s="12" t="n">
        <x:v>0</x:v>
      </x:c>
      <x:c r="O17" s="18" t="b">
        <x:v>1</x:v>
      </x:c>
    </x:row>
    <x:row r="18" ht="23" customHeight="1">
      <x:c r="A18" s="9" t="str">
        <x:v>SGD</x:v>
      </x:c>
      <x:c r="B18" s="9" t="str">
        <x:v>constant</x:v>
      </x:c>
      <x:c r="C18" s="20" t="n">
        <x:v>0.00001</x:v>
      </x:c>
      <x:c r="D18" s="9" t="str">
        <x:v>η = 1e-05</x:v>
      </x:c>
      <x:c r="E18" s="10" t="n">
        <x:v>0.32562145000262144</x:v>
      </x:c>
      <x:c r="F18" s="10" t="n">
        <x:v>0.304687365565978</x:v>
      </x:c>
      <x:c r="G18" s="10" t="n">
        <x:v>4963.641222069783</x:v>
      </x:c>
      <x:c r="H18" s="10" t="n">
        <x:v>4777.397455170629</x:v>
      </x:c>
      <x:c r="I18" s="10" t="n">
        <x:v>22647904.089334305</x:v>
      </x:c>
      <x:c r="J18" s="10" t="n">
        <x:v>24637734.181430407</x:v>
      </x:c>
      <x:c r="K18" s="11" t="n">
        <x:v>10000</x:v>
      </x:c>
      <x:c r="L18" s="9" t="str">
        <x:v>max_iter</x:v>
      </x:c>
      <x:c r="M18" s="11" t="n">
        <x:v>0</x:v>
      </x:c>
      <x:c r="N18" s="11" t="n">
        <x:v>480</x:v>
      </x:c>
      <x:c r="O18" s="19" t="b">
        <x:v>1</x:v>
      </x:c>
    </x:row>
    <x:row r="19" ht="23" customHeight="1">
      <x:c r="A19" s="3" t="str">
        <x:v>SGD</x:v>
      </x:c>
      <x:c r="B19" s="3" t="str">
        <x:v>constant</x:v>
      </x:c>
      <x:c r="C19" s="21" t="n">
        <x:v>0.0001</x:v>
      </x:c>
      <x:c r="D19" s="3" t="str">
        <x:v>η = 0.0001</x:v>
      </x:c>
      <x:c r="E19" s="8" t="n">
        <x:v>0.9738554328373253</x:v>
      </x:c>
      <x:c r="F19" s="8" t="n">
        <x:v>0.9756539672845386</x:v>
      </x:c>
      <x:c r="G19" s="8" t="n">
        <x:v>928.8047393680552</x:v>
      </x:c>
      <x:c r="H19" s="8" t="n">
        <x:v>1025.0201155981013</x:v>
      </x:c>
      <x:c r="I19" s="8" t="n">
        <x:v>878022.6618413584</x:v>
      </x:c>
      <x:c r="J19" s="8" t="n">
        <x:v>862678.2438725608</x:v>
      </x:c>
      <x:c r="K19" s="12" t="n">
        <x:v>10000</x:v>
      </x:c>
      <x:c r="L19" s="3" t="str">
        <x:v>max_iter</x:v>
      </x:c>
      <x:c r="M19" s="12" t="n">
        <x:v>0</x:v>
      </x:c>
      <x:c r="N19" s="12" t="n">
        <x:v>480</x:v>
      </x:c>
      <x:c r="O19" s="18" t="b">
        <x:v>1</x:v>
      </x:c>
    </x:row>
    <x:row r="20" ht="23" customHeight="1">
      <x:c r="A20" s="9" t="str">
        <x:v>SGD</x:v>
      </x:c>
      <x:c r="B20" s="9" t="str">
        <x:v>constant</x:v>
      </x:c>
      <x:c r="C20" s="20" t="n">
        <x:v>0.001</x:v>
      </x:c>
      <x:c r="D20" s="9" t="str">
        <x:v>η = 0.001</x:v>
      </x:c>
      <x:c r="E20" s="10" t="n">
        <x:v>0.9937217893854349</x:v>
      </x:c>
      <x:c r="F20" s="10" t="n">
        <x:v>0.9943015445229573</x:v>
      </x:c>
      <x:c r="G20" s="10" t="n">
        <x:v>449.35429992127723</x:v>
      </x:c>
      <x:c r="H20" s="10" t="n">
        <x:v>616.5382183829745</x:v>
      </x:c>
      <x:c r="I20" s="10" t="n">
        <x:v>210843.46744401183</x:v>
      </x:c>
      <x:c r="J20" s="10" t="n">
        <x:v>201919.2868577412</x:v>
      </x:c>
      <x:c r="K20" s="11" t="n">
        <x:v>10000</x:v>
      </x:c>
      <x:c r="L20" s="9" t="str">
        <x:v>max_iter</x:v>
      </x:c>
      <x:c r="M20" s="11" t="n">
        <x:v>0</x:v>
      </x:c>
      <x:c r="N20" s="11" t="n">
        <x:v>480</x:v>
      </x:c>
      <x:c r="O20" s="19" t="b">
        <x:v>1</x:v>
      </x:c>
    </x:row>
    <x:row r="21" ht="23" customHeight="1">
      <x:c r="A21" s="3" t="str">
        <x:v>SGD</x:v>
      </x:c>
      <x:c r="B21" s="3" t="str">
        <x:v>constant</x:v>
      </x:c>
      <x:c r="C21" s="21" t="n">
        <x:v>0.01</x:v>
      </x:c>
      <x:c r="D21" s="3" t="str">
        <x:v>η = 0.01</x:v>
      </x:c>
      <x:c r="E21" s="8" t="n">
        <x:v>0.9936987927302046</x:v>
      </x:c>
      <x:c r="F21" s="8" t="n">
        <x:v>0.9942895571363602</x:v>
      </x:c>
      <x:c r="G21" s="8" t="n">
        <x:v>449.82668703370405</x:v>
      </x:c>
      <x:c r="H21" s="8" t="n">
        <x:v>617.2870600731984</x:v>
      </x:c>
      <x:c r="I21" s="8" t="n">
        <x:v>211615.77261598705</x:v>
      </x:c>
      <x:c r="J21" s="8" t="n">
        <x:v>202344.0483677179</x:v>
      </x:c>
      <x:c r="K21" s="12" t="n">
        <x:v>10000</x:v>
      </x:c>
      <x:c r="L21" s="3" t="str">
        <x:v>max_iter</x:v>
      </x:c>
      <x:c r="M21" s="12" t="n">
        <x:v>0</x:v>
      </x:c>
      <x:c r="N21" s="12" t="n">
        <x:v>480</x:v>
      </x:c>
      <x:c r="O21" s="18" t="b">
        <x:v>1</x:v>
      </x:c>
    </x:row>
    <x:row r="22" ht="23" customHeight="1">
      <x:c r="A22" s="9" t="str">
        <x:v>SGD</x:v>
      </x:c>
      <x:c r="B22" s="9" t="str">
        <x:v>constant</x:v>
      </x:c>
      <x:c r="C22" s="20" t="n">
        <x:v>0.1</x:v>
      </x:c>
      <x:c r="D22" s="9" t="str">
        <x:v>η = 0.1</x:v>
      </x:c>
      <x:c r="E22" s="10" t="n">
        <x:v>0.9935315637033256</x:v>
      </x:c>
      <x:c r="F22" s="10" t="n">
        <x:v>0.994133806354263</x:v>
      </x:c>
      <x:c r="G22" s="10" t="n">
        <x:v>455.91986957160697</x:v>
      </x:c>
      <x:c r="H22" s="10" t="n">
        <x:v>624.5887390498089</x:v>
      </x:c>
      <x:c r="I22" s="10" t="n">
        <x:v>217231.88683213375</x:v>
      </x:c>
      <x:c r="J22" s="10" t="n">
        <x:v>207862.9274701911</x:v>
      </x:c>
      <x:c r="K22" s="11" t="n">
        <x:v>10000</x:v>
      </x:c>
      <x:c r="L22" s="9" t="str">
        <x:v>max_iter</x:v>
      </x:c>
      <x:c r="M22" s="11" t="n">
        <x:v>0</x:v>
      </x:c>
      <x:c r="N22" s="11" t="n">
        <x:v>480</x:v>
      </x:c>
      <x:c r="O22" s="19" t="b">
        <x:v>1</x:v>
      </x:c>
    </x:row>
    <x:row r="23" ht="23" customHeight="1">
      <x:c r="A23" s="3" t="str">
        <x:v>SGD</x:v>
      </x:c>
      <x:c r="B23" s="3" t="str">
        <x:v>constant</x:v>
      </x:c>
      <x:c r="C23" s="21" t="n">
        <x:v>1</x:v>
      </x:c>
      <x:c r="D23" s="3" t="str">
        <x:v>η = 1</x:v>
      </x:c>
      <x:c r="E23" s="8"/>
      <x:c r="F23" s="8"/>
      <x:c r="G23" s="8"/>
      <x:c r="H23" s="8"/>
      <x:c r="I23" s="8"/>
      <x:c r="J23" s="8"/>
      <x:c r="K23" s="12" t="n">
        <x:v>100</x:v>
      </x:c>
      <x:c r="L23" s="3" t="str">
        <x:v>diverged</x:v>
      </x:c>
      <x:c r="M23" s="12" t="n">
        <x:v>480</x:v>
      </x:c>
      <x:c r="N23" s="12" t="n">
        <x:v>0</x:v>
      </x:c>
      <x:c r="O23" s="18" t="b">
        <x:v>0</x:v>
      </x:c>
    </x:row>
    <x:row r="24" ht="23" customHeight="1">
      <x:c r="A24" s="9" t="str">
        <x:v>SGD</x:v>
      </x:c>
      <x:c r="B24" s="9" t="str">
        <x:v>time_decay</x:v>
      </x:c>
      <x:c r="C24" s="20" t="n">
        <x:v>0.00001</x:v>
      </x:c>
      <x:c r="D24" s="9" t="str">
        <x:v>η(k) = 1e-05/√(1+k)</x:v>
      </x:c>
      <x:c r="E24" s="10" t="n">
        <x:v>0.007809160688329597</x:v>
      </x:c>
      <x:c r="F24" s="10" t="n">
        <x:v>-0.02365983980070885</x:v>
      </x:c>
      <x:c r="G24" s="10" t="n">
        <x:v>6022.657343123294</x:v>
      </x:c>
      <x:c r="H24" s="10" t="n">
        <x:v>5784.657291598276</x:v>
      </x:c>
      <x:c r="I24" s="10" t="n">
        <x:v>33321111.6621876</x:v>
      </x:c>
      <x:c r="J24" s="10" t="n">
        <x:v>36272401.47267693</x:v>
      </x:c>
      <x:c r="K24" s="11" t="n">
        <x:v>10000</x:v>
      </x:c>
      <x:c r="L24" s="9" t="str">
        <x:v>max_iter</x:v>
      </x:c>
      <x:c r="M24" s="11" t="n">
        <x:v>0</x:v>
      </x:c>
      <x:c r="N24" s="11" t="n">
        <x:v>480</x:v>
      </x:c>
      <x:c r="O24" s="19" t="b">
        <x:v>1</x:v>
      </x:c>
    </x:row>
    <x:row r="25" ht="23" customHeight="1">
      <x:c r="A25" s="3" t="str">
        <x:v>SGD</x:v>
      </x:c>
      <x:c r="B25" s="3" t="str">
        <x:v>time_decay</x:v>
      </x:c>
      <x:c r="C25" s="21" t="n">
        <x:v>0.0001</x:v>
      </x:c>
      <x:c r="D25" s="3" t="str">
        <x:v>η(k) = 0.0001/√(1+k)</x:v>
      </x:c>
      <x:c r="E25" s="8" t="n">
        <x:v>0.07536653175566888</x:v>
      </x:c>
      <x:c r="F25" s="8" t="n">
        <x:v>0.04604510668931838</x:v>
      </x:c>
      <x:c r="G25" s="8" t="n">
        <x:v>5813.9894876833105</x:v>
      </x:c>
      <x:c r="H25" s="8" t="n">
        <x:v>5585.691218925083</x:v>
      </x:c>
      <x:c r="I25" s="8" t="n">
        <x:v>31052307.500983756</x:v>
      </x:c>
      <x:c r="J25" s="8" t="n">
        <x:v>33802473.762892045</x:v>
      </x:c>
      <x:c r="K25" s="12" t="n">
        <x:v>10000</x:v>
      </x:c>
      <x:c r="L25" s="3" t="str">
        <x:v>max_iter</x:v>
      </x:c>
      <x:c r="M25" s="12" t="n">
        <x:v>0</x:v>
      </x:c>
      <x:c r="N25" s="12" t="n">
        <x:v>480</x:v>
      </x:c>
      <x:c r="O25" s="18" t="b">
        <x:v>1</x:v>
      </x:c>
    </x:row>
    <x:row r="26" ht="23" customHeight="1">
      <x:c r="A26" s="9" t="str">
        <x:v>SGD</x:v>
      </x:c>
      <x:c r="B26" s="9" t="str">
        <x:v>time_decay</x:v>
      </x:c>
      <x:c r="C26" s="20" t="n">
        <x:v>0.001</x:v>
      </x:c>
      <x:c r="D26" s="9" t="str">
        <x:v>η(k) = 0.001/√(1+k)</x:v>
      </x:c>
      <x:c r="E26" s="10" t="n">
        <x:v>0.541138168905255</x:v>
      </x:c>
      <x:c r="F26" s="10" t="n">
        <x:v>0.5275448582168933</x:v>
      </x:c>
      <x:c r="G26" s="10" t="n">
        <x:v>4091.5759017271826</x:v>
      </x:c>
      <x:c r="H26" s="10" t="n">
        <x:v>3948.1351689611233</x:v>
      </x:c>
      <x:c r="I26" s="10" t="n">
        <x:v>15410126.465218235</x:v>
      </x:c>
      <x:c r="J26" s="10" t="n">
        <x:v>16740993.359594608</x:v>
      </x:c>
      <x:c r="K26" s="11" t="n">
        <x:v>10000</x:v>
      </x:c>
      <x:c r="L26" s="9" t="str">
        <x:v>max_iter</x:v>
      </x:c>
      <x:c r="M26" s="11" t="n">
        <x:v>0</x:v>
      </x:c>
      <x:c r="N26" s="11" t="n">
        <x:v>480</x:v>
      </x:c>
      <x:c r="O26" s="19" t="b">
        <x:v>1</x:v>
      </x:c>
    </x:row>
    <x:row r="27" ht="23" customHeight="1">
      <x:c r="A27" s="3" t="str">
        <x:v>SGD</x:v>
      </x:c>
      <x:c r="B27" s="3" t="str">
        <x:v>time_decay</x:v>
      </x:c>
      <x:c r="C27" s="21" t="n">
        <x:v>0.01</x:v>
      </x:c>
      <x:c r="D27" s="3" t="str">
        <x:v>η(k) = 0.01/√(1+k)</x:v>
      </x:c>
      <x:c r="E27" s="8" t="n">
        <x:v>0.9932478687391111</x:v>
      </x:c>
      <x:c r="F27" s="8" t="n">
        <x:v>0.9942503901269155</x:v>
      </x:c>
      <x:c r="G27" s="8" t="n">
        <x:v>451.3666953392339</x:v>
      </x:c>
      <x:c r="H27" s="8" t="n">
        <x:v>629.8958314874045</x:v>
      </x:c>
      <x:c r="I27" s="8" t="n">
        <x:v>226759.31966668062</x:v>
      </x:c>
      <x:c r="J27" s="8" t="n">
        <x:v>203731.8936614608</x:v>
      </x:c>
      <x:c r="K27" s="12" t="n">
        <x:v>10000</x:v>
      </x:c>
      <x:c r="L27" s="3" t="str">
        <x:v>max_iter</x:v>
      </x:c>
      <x:c r="M27" s="12" t="n">
        <x:v>0</x:v>
      </x:c>
      <x:c r="N27" s="12" t="n">
        <x:v>480</x:v>
      </x:c>
      <x:c r="O27" s="18" t="b">
        <x:v>1</x:v>
      </x:c>
    </x:row>
    <x:row r="28" ht="23" customHeight="1">
      <x:c r="A28" s="9" t="str">
        <x:v>SGD</x:v>
      </x:c>
      <x:c r="B28" s="9" t="str">
        <x:v>time_decay</x:v>
      </x:c>
      <x:c r="C28" s="20" t="n">
        <x:v>0.1</x:v>
      </x:c>
      <x:c r="D28" s="9" t="str">
        <x:v>η(k) = 0.1/√(1+k)</x:v>
      </x:c>
      <x:c r="E28" s="10" t="n">
        <x:v>0.9937217690313858</x:v>
      </x:c>
      <x:c r="F28" s="10" t="n">
        <x:v>0.9943016686039182</x:v>
      </x:c>
      <x:c r="G28" s="10" t="n">
        <x:v>449.3494076643237</x:v>
      </x:c>
      <x:c r="H28" s="10" t="n">
        <x:v>616.5301534118792</x:v>
      </x:c>
      <x:c r="I28" s="10" t="n">
        <x:v>210844.15100156612</x:v>
      </x:c>
      <x:c r="J28" s="10" t="n">
        <x:v>201914.89016827857</x:v>
      </x:c>
      <x:c r="K28" s="11" t="n">
        <x:v>10000</x:v>
      </x:c>
      <x:c r="L28" s="9" t="str">
        <x:v>max_iter</x:v>
      </x:c>
      <x:c r="M28" s="11" t="n">
        <x:v>0</x:v>
      </x:c>
      <x:c r="N28" s="11" t="n">
        <x:v>480</x:v>
      </x:c>
      <x:c r="O28" s="19" t="b">
        <x:v>1</x:v>
      </x:c>
    </x:row>
    <x:row r="29" ht="23" customHeight="1">
      <x:c r="A29" s="3" t="str">
        <x:v>SGD</x:v>
      </x:c>
      <x:c r="B29" s="3" t="str">
        <x:v>time_decay</x:v>
      </x:c>
      <x:c r="C29" s="21" t="n">
        <x:v>1</x:v>
      </x:c>
      <x:c r="D29" s="3" t="str">
        <x:v>η(k) = 1/√(1+k)</x:v>
      </x:c>
      <x:c r="E29" s="8" t="n">
        <x:v>0.9936987647495944</x:v>
      </x:c>
      <x:c r="F29" s="8" t="n">
        <x:v>0.9942895537658847</x:v>
      </x:c>
      <x:c r="G29" s="8" t="n">
        <x:v>449.8268197843186</x:v>
      </x:c>
      <x:c r="H29" s="8" t="n">
        <x:v>617.2884671631642</x:v>
      </x:c>
      <x:c r="I29" s="8" t="n">
        <x:v>211616.7122991568</x:v>
      </x:c>
      <x:c r="J29" s="8" t="n">
        <x:v>202344.16779727387</x:v>
      </x:c>
      <x:c r="K29" s="12" t="n">
        <x:v>10000</x:v>
      </x:c>
      <x:c r="L29" s="3" t="str">
        <x:v>max_iter</x:v>
      </x:c>
      <x:c r="M29" s="12" t="n">
        <x:v>0</x:v>
      </x:c>
      <x:c r="N29" s="12" t="n">
        <x:v>480</x:v>
      </x:c>
      <x:c r="O29" s="18" t="b">
        <x:v>1</x:v>
      </x:c>
    </x:row>
    <x:row r="30" ht="23" customHeight="1">
      <x:c r="A30" s="9" t="str">
        <x:v>SAG</x:v>
      </x:c>
      <x:c r="B30" s="9" t="str">
        <x:v>constant</x:v>
      </x:c>
      <x:c r="C30" s="20" t="n">
        <x:v>0.00001</x:v>
      </x:c>
      <x:c r="D30" s="9" t="str">
        <x:v>η = 1e-05</x:v>
      </x:c>
      <x:c r="E30" s="10" t="n">
        <x:v>0.31365029518133025</x:v>
      </x:c>
      <x:c r="F30" s="10" t="n">
        <x:v>0.29189532218091874</x:v>
      </x:c>
      <x:c r="G30" s="10" t="n">
        <x:v>5009.092525643866</x:v>
      </x:c>
      <x:c r="H30" s="10" t="n">
        <x:v>4818.822232536086</x:v>
      </x:c>
      <x:c r="I30" s="10" t="n">
        <x:v>23049935.80613821</x:v>
      </x:c>
      <x:c r="J30" s="10" t="n">
        <x:v>25091007.93046124</x:v>
      </x:c>
      <x:c r="K30" s="11" t="n">
        <x:v>10000</x:v>
      </x:c>
      <x:c r="L30" s="9" t="str">
        <x:v>max_iter</x:v>
      </x:c>
      <x:c r="M30" s="11" t="n">
        <x:v>0</x:v>
      </x:c>
      <x:c r="N30" s="11" t="n">
        <x:v>480</x:v>
      </x:c>
      <x:c r="O30" s="19" t="b">
        <x:v>1</x:v>
      </x:c>
    </x:row>
    <x:row r="31" ht="23" customHeight="1">
      <x:c r="A31" s="3" t="str">
        <x:v>SAG</x:v>
      </x:c>
      <x:c r="B31" s="3" t="str">
        <x:v>constant</x:v>
      </x:c>
      <x:c r="C31" s="21" t="n">
        <x:v>0.0001</x:v>
      </x:c>
      <x:c r="D31" s="3" t="str">
        <x:v>η = 0.0001</x:v>
      </x:c>
      <x:c r="E31" s="8" t="n">
        <x:v>0.976822834385972</x:v>
      </x:c>
      <x:c r="F31" s="8" t="n">
        <x:v>0.9783716063981306</x:v>
      </x:c>
      <x:c r="G31" s="8" t="n">
        <x:v>875.4320743240984</x:v>
      </x:c>
      <x:c r="H31" s="8" t="n">
        <x:v>972.9148760932196</x:v>
      </x:c>
      <x:c r="I31" s="8" t="n">
        <x:v>778367.3189059232</x:v>
      </x:c>
      <x:c r="J31" s="8" t="n">
        <x:v>766381.3167553938</x:v>
      </x:c>
      <x:c r="K31" s="12" t="n">
        <x:v>10000</x:v>
      </x:c>
      <x:c r="L31" s="3" t="str">
        <x:v>max_iter</x:v>
      </x:c>
      <x:c r="M31" s="12" t="n">
        <x:v>0</x:v>
      </x:c>
      <x:c r="N31" s="12" t="n">
        <x:v>480</x:v>
      </x:c>
      <x:c r="O31" s="18" t="b">
        <x:v>1</x:v>
      </x:c>
    </x:row>
    <x:row r="32" ht="23" customHeight="1">
      <x:c r="A32" s="9" t="str">
        <x:v>SAG</x:v>
      </x:c>
      <x:c r="B32" s="9" t="str">
        <x:v>constant</x:v>
      </x:c>
      <x:c r="C32" s="20" t="n">
        <x:v>0.001</x:v>
      </x:c>
      <x:c r="D32" s="9" t="str">
        <x:v>η = 0.001</x:v>
      </x:c>
      <x:c r="E32" s="10" t="n">
        <x:v>0.9937237869344329</x:v>
      </x:c>
      <x:c r="F32" s="10" t="n">
        <x:v>0.9943063888492423</x:v>
      </x:c>
      <x:c r="G32" s="10" t="n">
        <x:v>449.1632585341009</x:v>
      </x:c>
      <x:c r="H32" s="10" t="n">
        <x:v>617.1301684995785</x:v>
      </x:c>
      <x:c r="I32" s="10" t="n">
        <x:v>210776.3830177355</x:v>
      </x:c>
      <x:c r="J32" s="10" t="n">
        <x:v>201747.63281697157</x:v>
      </x:c>
      <x:c r="K32" s="11" t="n">
        <x:v>10000</x:v>
      </x:c>
      <x:c r="L32" s="9" t="str">
        <x:v>max_iter</x:v>
      </x:c>
      <x:c r="M32" s="11" t="n">
        <x:v>0</x:v>
      </x:c>
      <x:c r="N32" s="11" t="n">
        <x:v>480</x:v>
      </x:c>
      <x:c r="O32" s="19" t="b">
        <x:v>1</x:v>
      </x:c>
    </x:row>
    <x:row r="33" ht="23" customHeight="1">
      <x:c r="A33" s="3" t="str">
        <x:v>SAG</x:v>
      </x:c>
      <x:c r="B33" s="3" t="str">
        <x:v>constant</x:v>
      </x:c>
      <x:c r="C33" s="21" t="n">
        <x:v>0.01</x:v>
      </x:c>
      <x:c r="D33" s="3" t="str">
        <x:v>η = 0.01</x:v>
      </x:c>
      <x:c r="E33" s="8" t="n">
        <x:v>0.9937237335802463</x:v>
      </x:c>
      <x:c r="F33" s="8" t="n">
        <x:v>0.9943096138604568</x:v>
      </x:c>
      <x:c r="G33" s="8" t="n">
        <x:v>449.03603156945496</x:v>
      </x:c>
      <x:c r="H33" s="8" t="n">
        <x:v>617.0491107085853</x:v>
      </x:c>
      <x:c r="I33" s="8" t="n">
        <x:v>210778.17483109812</x:v>
      </x:c>
      <x:c r="J33" s="8" t="n">
        <x:v>201633.35764764453</x:v>
      </x:c>
      <x:c r="K33" s="12" t="n">
        <x:v>10000</x:v>
      </x:c>
      <x:c r="L33" s="3" t="str">
        <x:v>max_iter</x:v>
      </x:c>
      <x:c r="M33" s="12" t="n">
        <x:v>0</x:v>
      </x:c>
      <x:c r="N33" s="12" t="n">
        <x:v>480</x:v>
      </x:c>
      <x:c r="O33" s="18" t="b">
        <x:v>1</x:v>
      </x:c>
    </x:row>
    <x:row r="34" ht="23" customHeight="1">
      <x:c r="A34" s="9" t="str">
        <x:v>SAG</x:v>
      </x:c>
      <x:c r="B34" s="9" t="str">
        <x:v>constant</x:v>
      </x:c>
      <x:c r="C34" s="20" t="n">
        <x:v>0.1</x:v>
      </x:c>
      <x:c r="D34" s="9" t="str">
        <x:v>η = 0.1</x:v>
      </x:c>
      <x:c r="E34" s="10" t="n">
        <x:v>0.11361385809080315</x:v>
      </x:c>
      <x:c r="F34" s="10" t="n">
        <x:v>0.08381242546087453</x:v>
      </x:c>
      <x:c r="G34" s="10" t="n">
        <x:v>5697.738600654534</x:v>
      </x:c>
      <x:c r="H34" s="10" t="n">
        <x:v>9609.478020137027</x:v>
      </x:c>
      <x:c r="I34" s="10" t="n">
        <x:v>29767833.404773314</x:v>
      </x:c>
      <x:c r="J34" s="10" t="n">
        <x:v>32464225.161388684</x:v>
      </x:c>
      <x:c r="K34" s="11" t="n">
        <x:v>10000</x:v>
      </x:c>
      <x:c r="L34" s="9" t="str">
        <x:v>max_iter</x:v>
      </x:c>
      <x:c r="M34" s="11" t="n">
        <x:v>0</x:v>
      </x:c>
      <x:c r="N34" s="11" t="n">
        <x:v>480</x:v>
      </x:c>
      <x:c r="O34" s="19" t="b">
        <x:v>1</x:v>
      </x:c>
    </x:row>
    <x:row r="35" ht="23" customHeight="1">
      <x:c r="A35" s="3" t="str">
        <x:v>SAG</x:v>
      </x:c>
      <x:c r="B35" s="3" t="str">
        <x:v>constant</x:v>
      </x:c>
      <x:c r="C35" s="21" t="n">
        <x:v>1</x:v>
      </x:c>
      <x:c r="D35" s="3" t="str">
        <x:v>η = 1</x:v>
      </x:c>
      <x:c r="E35" s="8"/>
      <x:c r="F35" s="8"/>
      <x:c r="G35" s="8"/>
      <x:c r="H35" s="8"/>
      <x:c r="I35" s="8"/>
      <x:c r="J35" s="8"/>
      <x:c r="K35" s="12" t="n">
        <x:v>2950</x:v>
      </x:c>
      <x:c r="L35" s="3" t="str">
        <x:v>diverged</x:v>
      </x:c>
      <x:c r="M35" s="12" t="n">
        <x:v>480</x:v>
      </x:c>
      <x:c r="N35" s="12" t="n">
        <x:v>0</x:v>
      </x:c>
      <x:c r="O35" s="18" t="b">
        <x:v>0</x:v>
      </x:c>
    </x:row>
    <x:row r="36" ht="23" customHeight="1">
      <x:c r="A36" s="9" t="str">
        <x:v>SAG</x:v>
      </x:c>
      <x:c r="B36" s="9" t="str">
        <x:v>time_decay</x:v>
      </x:c>
      <x:c r="C36" s="20" t="n">
        <x:v>0.00001</x:v>
      </x:c>
      <x:c r="D36" s="9" t="str">
        <x:v>η(k) = 1e-05/√(1+k)</x:v>
      </x:c>
      <x:c r="E36" s="10" t="n">
        <x:v>0.006259747026212126</x:v>
      </x:c>
      <x:c r="F36" s="10" t="n">
        <x:v>-0.02527145484213711</x:v>
      </x:c>
      <x:c r="G36" s="10" t="n">
        <x:v>6027.396411469658</x:v>
      </x:c>
      <x:c r="H36" s="10" t="n">
        <x:v>5789.1077813905185</x:v>
      </x:c>
      <x:c r="I36" s="10" t="n">
        <x:v>33373146.193853054</x:v>
      </x:c>
      <x:c r="J36" s="10" t="n">
        <x:v>36329507.50099731</x:v>
      </x:c>
      <x:c r="K36" s="11" t="n">
        <x:v>10000</x:v>
      </x:c>
      <x:c r="L36" s="9" t="str">
        <x:v>max_iter</x:v>
      </x:c>
      <x:c r="M36" s="11" t="n">
        <x:v>0</x:v>
      </x:c>
      <x:c r="N36" s="11" t="n">
        <x:v>480</x:v>
      </x:c>
      <x:c r="O36" s="19" t="b">
        <x:v>1</x:v>
      </x:c>
    </x:row>
    <x:row r="37" ht="23" customHeight="1">
      <x:c r="A37" s="3" t="str">
        <x:v>SAG</x:v>
      </x:c>
      <x:c r="B37" s="3" t="str">
        <x:v>time_decay</x:v>
      </x:c>
      <x:c r="C37" s="21" t="n">
        <x:v>0.0001</x:v>
      </x:c>
      <x:c r="D37" s="3" t="str">
        <x:v>η(k) = 0.0001/√(1+k)</x:v>
      </x:c>
      <x:c r="E37" s="8" t="n">
        <x:v>0.06091834701109855</x:v>
      </x:c>
      <x:c r="F37" s="8" t="n">
        <x:v>0.03100746602887372</x:v>
      </x:c>
      <x:c r="G37" s="8" t="n">
        <x:v>5859.634637986826</x:v>
      </x:c>
      <x:c r="H37" s="8" t="n">
        <x:v>5628.524217650203</x:v>
      </x:c>
      <x:c r="I37" s="8" t="n">
        <x:v>31537526.229191057</x:v>
      </x:c>
      <x:c r="J37" s="8" t="n">
        <x:v>34335318.09069501</x:v>
      </x:c>
      <x:c r="K37" s="12" t="n">
        <x:v>10000</x:v>
      </x:c>
      <x:c r="L37" s="3" t="str">
        <x:v>max_iter</x:v>
      </x:c>
      <x:c r="M37" s="12" t="n">
        <x:v>0</x:v>
      </x:c>
      <x:c r="N37" s="12" t="n">
        <x:v>480</x:v>
      </x:c>
      <x:c r="O37" s="18" t="b">
        <x:v>1</x:v>
      </x:c>
    </x:row>
    <x:row r="38" ht="23" customHeight="1">
      <x:c r="A38" s="9" t="str">
        <x:v>SAG</x:v>
      </x:c>
      <x:c r="B38" s="9" t="str">
        <x:v>time_decay</x:v>
      </x:c>
      <x:c r="C38" s="20" t="n">
        <x:v>0.001</x:v>
      </x:c>
      <x:c r="D38" s="9" t="str">
        <x:v>η(k) = 0.001/√(1+k)</x:v>
      </x:c>
      <x:c r="E38" s="10" t="n">
        <x:v>0.46966639695874723</x:v>
      </x:c>
      <x:c r="F38" s="10" t="n">
        <x:v>0.45270944651760825</x:v>
      </x:c>
      <x:c r="G38" s="10" t="n">
        <x:v>4403.71594992346</x:v>
      </x:c>
      <x:c r="H38" s="10" t="n">
        <x:v>4238.424472299314</x:v>
      </x:c>
      <x:c r="I38" s="10" t="n">
        <x:v>17810389.397877607</x:v>
      </x:c>
      <x:c r="J38" s="10" t="n">
        <x:v>19392714.167610284</x:v>
      </x:c>
      <x:c r="K38" s="11" t="n">
        <x:v>10000</x:v>
      </x:c>
      <x:c r="L38" s="9" t="str">
        <x:v>max_iter</x:v>
      </x:c>
      <x:c r="M38" s="11" t="n">
        <x:v>0</x:v>
      </x:c>
      <x:c r="N38" s="11" t="n">
        <x:v>480</x:v>
      </x:c>
      <x:c r="O38" s="19" t="b">
        <x:v>1</x:v>
      </x:c>
    </x:row>
    <x:row r="39" ht="23" customHeight="1">
      <x:c r="A39" s="3" t="str">
        <x:v>SAG</x:v>
      </x:c>
      <x:c r="B39" s="3" t="str">
        <x:v>time_decay</x:v>
      </x:c>
      <x:c r="C39" s="21" t="n">
        <x:v>0.01</x:v>
      </x:c>
      <x:c r="D39" s="3" t="str">
        <x:v>η(k) = 0.01/√(1+k)</x:v>
      </x:c>
      <x:c r="E39" s="8" t="n">
        <x:v>0.9931006125966312</x:v>
      </x:c>
      <x:c r="F39" s="8" t="n">
        <x:v>0.9940823583651061</x:v>
      </x:c>
      <x:c r="G39" s="8" t="n">
        <x:v>457.9147709601159</x:v>
      </x:c>
      <x:c r="H39" s="8" t="n">
        <x:v>633.9362319228168</x:v>
      </x:c>
      <x:c r="I39" s="8" t="n">
        <x:v>231704.67712424538</x:v>
      </x:c>
      <x:c r="J39" s="8" t="n">
        <x:v>209685.93746345543</x:v>
      </x:c>
      <x:c r="K39" s="12" t="n">
        <x:v>10000</x:v>
      </x:c>
      <x:c r="L39" s="3" t="str">
        <x:v>max_iter</x:v>
      </x:c>
      <x:c r="M39" s="12" t="n">
        <x:v>0</x:v>
      </x:c>
      <x:c r="N39" s="12" t="n">
        <x:v>480</x:v>
      </x:c>
      <x:c r="O39" s="18" t="b">
        <x:v>1</x:v>
      </x:c>
    </x:row>
    <x:row r="40" ht="23" customHeight="1">
      <x:c r="A40" s="9" t="str">
        <x:v>SAG</x:v>
      </x:c>
      <x:c r="B40" s="9" t="str">
        <x:v>time_decay</x:v>
      </x:c>
      <x:c r="C40" s="20" t="n">
        <x:v>0.1</x:v>
      </x:c>
      <x:c r="D40" s="9" t="str">
        <x:v>η(k) = 0.1/√(1+k)</x:v>
      </x:c>
      <x:c r="E40" s="10" t="n">
        <x:v>0.9937237881770847</x:v>
      </x:c>
      <x:c r="F40" s="10" t="n">
        <x:v>0.9943067732831486</x:v>
      </x:c>
      <x:c r="G40" s="10" t="n">
        <x:v>449.14809447597275</x:v>
      </x:c>
      <x:c r="H40" s="10" t="n">
        <x:v>617.0996221535405</x:v>
      </x:c>
      <x:c r="I40" s="10" t="n">
        <x:v>210776.34128529727</x:v>
      </x:c>
      <x:c r="J40" s="10" t="n">
        <x:v>201734.01077139736</x:v>
      </x:c>
      <x:c r="K40" s="11" t="n">
        <x:v>10000</x:v>
      </x:c>
      <x:c r="L40" s="9" t="str">
        <x:v>max_iter</x:v>
      </x:c>
      <x:c r="M40" s="11" t="n">
        <x:v>0</x:v>
      </x:c>
      <x:c r="N40" s="11" t="n">
        <x:v>480</x:v>
      </x:c>
      <x:c r="O40" s="19" t="b">
        <x:v>1</x:v>
      </x:c>
    </x:row>
    <x:row r="41" ht="23" customHeight="1">
      <x:c r="A41" s="3" t="str">
        <x:v>SAG</x:v>
      </x:c>
      <x:c r="B41" s="3" t="str">
        <x:v>time_decay</x:v>
      </x:c>
      <x:c r="C41" s="21" t="n">
        <x:v>1</x:v>
      </x:c>
      <x:c r="D41" s="3" t="str">
        <x:v>η(k) = 1/√(1+k)</x:v>
      </x:c>
      <x:c r="E41" s="8" t="n">
        <x:v>0.9937237727851702</x:v>
      </x:c>
      <x:c r="F41" s="8" t="n">
        <x:v>0.9943062213401463</x:v>
      </x:c>
      <x:c r="G41" s="8" t="n">
        <x:v>449.169865797574</x:v>
      </x:c>
      <x:c r="H41" s="8" t="n">
        <x:v>617.06387876515</x:v>
      </x:c>
      <x:c r="I41" s="8" t="n">
        <x:v>210776.85819765137</x:v>
      </x:c>
      <x:c r="J41" s="8" t="n">
        <x:v>201753.56834061063</x:v>
      </x:c>
      <x:c r="K41" s="12" t="n">
        <x:v>10000</x:v>
      </x:c>
      <x:c r="L41" s="3" t="str">
        <x:v>max_iter</x:v>
      </x:c>
      <x:c r="M41" s="12" t="n">
        <x:v>0</x:v>
      </x:c>
      <x:c r="N41" s="12" t="n">
        <x:v>480</x:v>
      </x:c>
      <x:c r="O41" s="18" t="b">
        <x:v>1</x:v>
      </x:c>
    </x:row>
    <x:row r="42" ht="23" customHeight="1">
      <x:c r="A42" s="9" t="str">
        <x:v>Momentum</x:v>
      </x:c>
      <x:c r="B42" s="9" t="str">
        <x:v>constant</x:v>
      </x:c>
      <x:c r="C42" s="20" t="n">
        <x:v>0.00001</x:v>
      </x:c>
      <x:c r="D42" s="9" t="str">
        <x:v>η = 1e-05</x:v>
      </x:c>
      <x:c r="E42" s="10" t="n">
        <x:v>0.9738243928502366</x:v>
      </x:c>
      <x:c r="F42" s="10" t="n">
        <x:v>0.9755172653713092</x:v>
      </x:c>
      <x:c r="G42" s="10" t="n">
        <x:v>931.4086882970562</x:v>
      </x:c>
      <x:c r="H42" s="10" t="n">
        <x:v>1025.5793165384978</x:v>
      </x:c>
      <x:c r="I42" s="10" t="n">
        <x:v>879065.0891998862</x:v>
      </x:c>
      <x:c r="J42" s="10" t="n">
        <x:v>867522.1446352428</x:v>
      </x:c>
      <x:c r="K42" s="11" t="n">
        <x:v>10000</x:v>
      </x:c>
      <x:c r="L42" s="9" t="str">
        <x:v>max_iter</x:v>
      </x:c>
      <x:c r="M42" s="11" t="n">
        <x:v>0</x:v>
      </x:c>
      <x:c r="N42" s="11" t="n">
        <x:v>480</x:v>
      </x:c>
      <x:c r="O42" s="19" t="b">
        <x:v>1</x:v>
      </x:c>
    </x:row>
    <x:row r="43" ht="23" customHeight="1">
      <x:c r="A43" s="3" t="str">
        <x:v>Momentum</x:v>
      </x:c>
      <x:c r="B43" s="3" t="str">
        <x:v>constant</x:v>
      </x:c>
      <x:c r="C43" s="21" t="n">
        <x:v>0.0001</x:v>
      </x:c>
      <x:c r="D43" s="3" t="str">
        <x:v>η = 0.0001</x:v>
      </x:c>
      <x:c r="E43" s="8" t="n">
        <x:v>0.9937237887925208</x:v>
      </x:c>
      <x:c r="F43" s="8" t="n">
        <x:v>0.9943072661322628</x:v>
      </x:c>
      <x:c r="G43" s="8" t="n">
        <x:v>449.1286532133614</x:v>
      </x:c>
      <x:c r="H43" s="8" t="n">
        <x:v>617.0924439157151</x:v>
      </x:c>
      <x:c r="I43" s="8" t="n">
        <x:v>210776.32061688087</x:v>
      </x:c>
      <x:c r="J43" s="8" t="n">
        <x:v>201716.54713724786</x:v>
      </x:c>
      <x:c r="K43" s="12" t="n">
        <x:v>9400</x:v>
      </x:c>
      <x:c r="L43" s="3" t="str">
        <x:v>converged</x:v>
      </x:c>
      <x:c r="M43" s="12" t="n">
        <x:v>0</x:v>
      </x:c>
      <x:c r="N43" s="12" t="n">
        <x:v>0</x:v>
      </x:c>
      <x:c r="O43" s="18" t="b">
        <x:v>1</x:v>
      </x:c>
    </x:row>
    <x:row r="44" ht="23" customHeight="1">
      <x:c r="A44" s="9" t="str">
        <x:v>Momentum</x:v>
      </x:c>
      <x:c r="B44" s="9" t="str">
        <x:v>constant</x:v>
      </x:c>
      <x:c r="C44" s="20" t="n">
        <x:v>0.001</x:v>
      </x:c>
      <x:c r="D44" s="9" t="str">
        <x:v>η = 0.001</x:v>
      </x:c>
      <x:c r="E44" s="10" t="n">
        <x:v>0.9937237887925222</x:v>
      </x:c>
      <x:c r="F44" s="10" t="n">
        <x:v>0.9943072659727512</x:v>
      </x:c>
      <x:c r="G44" s="10" t="n">
        <x:v>449.12865950570193</x:v>
      </x:c>
      <x:c r="H44" s="10" t="n">
        <x:v>617.0924369159347</x:v>
      </x:c>
      <x:c r="I44" s="10" t="n">
        <x:v>210776.32061683113</x:v>
      </x:c>
      <x:c r="J44" s="10" t="n">
        <x:v>201716.55278938875</x:v>
      </x:c>
      <x:c r="K44" s="11" t="n">
        <x:v>800</x:v>
      </x:c>
      <x:c r="L44" s="9" t="str">
        <x:v>converged</x:v>
      </x:c>
      <x:c r="M44" s="11" t="n">
        <x:v>0</x:v>
      </x:c>
      <x:c r="N44" s="11" t="n">
        <x:v>0</x:v>
      </x:c>
      <x:c r="O44" s="19" t="b">
        <x:v>1</x:v>
      </x:c>
    </x:row>
    <x:row r="45" ht="23" customHeight="1">
      <x:c r="A45" s="3" t="str">
        <x:v>Momentum</x:v>
      </x:c>
      <x:c r="B45" s="3" t="str">
        <x:v>constant</x:v>
      </x:c>
      <x:c r="C45" s="21" t="n">
        <x:v>0.01</x:v>
      </x:c>
      <x:c r="D45" s="3" t="str">
        <x:v>η = 0.01</x:v>
      </x:c>
      <x:c r="E45" s="8" t="n">
        <x:v>0.9937237887925233</x:v>
      </x:c>
      <x:c r="F45" s="8" t="n">
        <x:v>0.9943072657213027</x:v>
      </x:c>
      <x:c r="G45" s="8" t="n">
        <x:v>449.1286694247249</x:v>
      </x:c>
      <x:c r="H45" s="8" t="n">
        <x:v>617.0924292682665</x:v>
      </x:c>
      <x:c r="I45" s="8" t="n">
        <x:v>210776.32061679513</x:v>
      </x:c>
      <x:c r="J45" s="8" t="n">
        <x:v>201716.5616992238</x:v>
      </x:c>
      <x:c r="K45" s="12" t="n">
        <x:v>350</x:v>
      </x:c>
      <x:c r="L45" s="3" t="str">
        <x:v>converged</x:v>
      </x:c>
      <x:c r="M45" s="12" t="n">
        <x:v>0</x:v>
      </x:c>
      <x:c r="N45" s="12" t="n">
        <x:v>0</x:v>
      </x:c>
      <x:c r="O45" s="18" t="b">
        <x:v>1</x:v>
      </x:c>
    </x:row>
    <x:row r="46" ht="23" customHeight="1">
      <x:c r="A46" s="9" t="str">
        <x:v>Momentum</x:v>
      </x:c>
      <x:c r="B46" s="9" t="str">
        <x:v>constant</x:v>
      </x:c>
      <x:c r="C46" s="20" t="n">
        <x:v>0.1</x:v>
      </x:c>
      <x:c r="D46" s="9" t="str">
        <x:v>η = 0.1</x:v>
      </x:c>
      <x:c r="E46" s="10" t="n">
        <x:v>0.9937237887925233</x:v>
      </x:c>
      <x:c r="F46" s="10" t="n">
        <x:v>0.994307265898465</x:v>
      </x:c>
      <x:c r="G46" s="10" t="n">
        <x:v>449.12866243611137</x:v>
      </x:c>
      <x:c r="H46" s="10" t="n">
        <x:v>617.0924334404065</x:v>
      </x:c>
      <x:c r="I46" s="10" t="n">
        <x:v>210776.3206167947</x:v>
      </x:c>
      <x:c r="J46" s="10" t="n">
        <x:v>201716.55542165047</x:v>
      </x:c>
      <x:c r="K46" s="11" t="n">
        <x:v>350</x:v>
      </x:c>
      <x:c r="L46" s="9" t="str">
        <x:v>converged</x:v>
      </x:c>
      <x:c r="M46" s="11" t="n">
        <x:v>0</x:v>
      </x:c>
      <x:c r="N46" s="11" t="n">
        <x:v>0</x:v>
      </x:c>
      <x:c r="O46" s="19" t="b">
        <x:v>1</x:v>
      </x:c>
    </x:row>
    <x:row r="47" ht="23" customHeight="1">
      <x:c r="A47" s="3" t="str">
        <x:v>Momentum</x:v>
      </x:c>
      <x:c r="B47" s="3" t="str">
        <x:v>constant</x:v>
      </x:c>
      <x:c r="C47" s="21" t="n">
        <x:v>1</x:v>
      </x:c>
      <x:c r="D47" s="3" t="str">
        <x:v>η = 1</x:v>
      </x:c>
      <x:c r="E47" s="8" t="n">
        <x:v>0.9937237887925232</x:v>
      </x:c>
      <x:c r="F47" s="8" t="n">
        <x:v>0.9943072662819954</x:v>
      </x:c>
      <x:c r="G47" s="8" t="n">
        <x:v>449.12864730678</x:v>
      </x:c>
      <x:c r="H47" s="8" t="n">
        <x:v>617.0924161206522</x:v>
      </x:c>
      <x:c r="I47" s="8" t="n">
        <x:v>210776.32061679717</x:v>
      </x:c>
      <x:c r="J47" s="8" t="n">
        <x:v>201716.541831618</x:v>
      </x:c>
      <x:c r="K47" s="12" t="n">
        <x:v>350</x:v>
      </x:c>
      <x:c r="L47" s="3" t="str">
        <x:v>converged</x:v>
      </x:c>
      <x:c r="M47" s="12" t="n">
        <x:v>0</x:v>
      </x:c>
      <x:c r="N47" s="12" t="n">
        <x:v>0</x:v>
      </x:c>
      <x:c r="O47" s="18" t="b">
        <x:v>1</x:v>
      </x:c>
    </x:row>
    <x:row r="48" ht="23" customHeight="1">
      <x:c r="A48" s="9" t="str">
        <x:v>Momentum</x:v>
      </x:c>
      <x:c r="B48" s="9" t="str">
        <x:v>time_decay</x:v>
      </x:c>
      <x:c r="C48" s="20" t="n">
        <x:v>0.00001</x:v>
      </x:c>
      <x:c r="D48" s="9" t="str">
        <x:v>η(k) = 1e-05/√(1+k)</x:v>
      </x:c>
      <x:c r="E48" s="10" t="n">
        <x:v>0.07539279985050817</x:v>
      </x:c>
      <x:c r="F48" s="10" t="n">
        <x:v>0.04607013639202184</x:v>
      </x:c>
      <x:c r="G48" s="10" t="n">
        <x:v>5813.913213960109</x:v>
      </x:c>
      <x:c r="H48" s="10" t="n">
        <x:v>5586.007104278739</x:v>
      </x:c>
      <x:c r="I48" s="10" t="n">
        <x:v>31051425.329846296</x:v>
      </x:c>
      <x:c r="J48" s="10" t="n">
        <x:v>33801586.85945997</x:v>
      </x:c>
      <x:c r="K48" s="11" t="n">
        <x:v>10000</x:v>
      </x:c>
      <x:c r="L48" s="9" t="str">
        <x:v>max_iter</x:v>
      </x:c>
      <x:c r="M48" s="11" t="n">
        <x:v>0</x:v>
      </x:c>
      <x:c r="N48" s="11" t="n">
        <x:v>480</x:v>
      </x:c>
      <x:c r="O48" s="19" t="b">
        <x:v>1</x:v>
      </x:c>
    </x:row>
    <x:row r="49" ht="23" customHeight="1">
      <x:c r="A49" s="3" t="str">
        <x:v>Momentum</x:v>
      </x:c>
      <x:c r="B49" s="3" t="str">
        <x:v>time_decay</x:v>
      </x:c>
      <x:c r="C49" s="21" t="n">
        <x:v>0.0001</x:v>
      </x:c>
      <x:c r="D49" s="3" t="str">
        <x:v>η(k) = 0.0001/√(1+k)</x:v>
      </x:c>
      <x:c r="E49" s="8" t="n">
        <x:v>0.5414249966412129</x:v>
      </x:c>
      <x:c r="F49" s="8" t="n">
        <x:v>0.5278083756764744</x:v>
      </x:c>
      <x:c r="G49" s="8" t="n">
        <x:v>4090.434680075827</x:v>
      </x:c>
      <x:c r="H49" s="8" t="n">
        <x:v>3949.6563674697672</x:v>
      </x:c>
      <x:c r="I49" s="8" t="n">
        <x:v>15400493.823352385</x:v>
      </x:c>
      <x:c r="J49" s="8" t="n">
        <x:v>16731655.871967033</x:v>
      </x:c>
      <x:c r="K49" s="12" t="n">
        <x:v>10000</x:v>
      </x:c>
      <x:c r="L49" s="3" t="str">
        <x:v>max_iter</x:v>
      </x:c>
      <x:c r="M49" s="12" t="n">
        <x:v>0</x:v>
      </x:c>
      <x:c r="N49" s="12" t="n">
        <x:v>480</x:v>
      </x:c>
      <x:c r="O49" s="18" t="b">
        <x:v>1</x:v>
      </x:c>
    </x:row>
    <x:row r="50" ht="23" customHeight="1">
      <x:c r="A50" s="9" t="str">
        <x:v>Momentum</x:v>
      </x:c>
      <x:c r="B50" s="9" t="str">
        <x:v>time_decay</x:v>
      </x:c>
      <x:c r="C50" s="20" t="n">
        <x:v>0.001</x:v>
      </x:c>
      <x:c r="D50" s="9" t="str">
        <x:v>η(k) = 0.001/√(1+k)</x:v>
      </x:c>
      <x:c r="E50" s="10" t="n">
        <x:v>0.9932620260553845</x:v>
      </x:c>
      <x:c r="F50" s="10" t="n">
        <x:v>0.9942487788965835</x:v>
      </x:c>
      <x:c r="G50" s="10" t="n">
        <x:v>451.4299348270726</x:v>
      </x:c>
      <x:c r="H50" s="10" t="n">
        <x:v>629.5152412434045</x:v>
      </x:c>
      <x:c r="I50" s="10" t="n">
        <x:v>226283.869281841</x:v>
      </x:c>
      <x:c r="J50" s="10" t="n">
        <x:v>203788.986057975</x:v>
      </x:c>
      <x:c r="K50" s="11" t="n">
        <x:v>10000</x:v>
      </x:c>
      <x:c r="L50" s="9" t="str">
        <x:v>max_iter</x:v>
      </x:c>
      <x:c r="M50" s="11" t="n">
        <x:v>0</x:v>
      </x:c>
      <x:c r="N50" s="11" t="n">
        <x:v>480</x:v>
      </x:c>
      <x:c r="O50" s="19" t="b">
        <x:v>1</x:v>
      </x:c>
    </x:row>
    <x:row r="51" ht="23" customHeight="1">
      <x:c r="A51" s="3" t="str">
        <x:v>Momentum</x:v>
      </x:c>
      <x:c r="B51" s="3" t="str">
        <x:v>time_decay</x:v>
      </x:c>
      <x:c r="C51" s="21" t="n">
        <x:v>0.01</x:v>
      </x:c>
      <x:c r="D51" s="3" t="str">
        <x:v>η(k) = 0.01/√(1+k)</x:v>
      </x:c>
      <x:c r="E51" s="8" t="n">
        <x:v>0.993723788792521</x:v>
      </x:c>
      <x:c r="F51" s="8" t="n">
        <x:v>0.994307265502903</x:v>
      </x:c>
      <x:c r="G51" s="8" t="n">
        <x:v>449.12867804005185</x:v>
      </x:c>
      <x:c r="H51" s="8" t="n">
        <x:v>617.0924075977866</x:v>
      </x:c>
      <x:c r="I51" s="8" t="n">
        <x:v>210776.32061687272</x:v>
      </x:c>
      <x:c r="J51" s="8" t="n">
        <x:v>201716.56943800455</x:v>
      </x:c>
      <x:c r="K51" s="12" t="n">
        <x:v>1750</x:v>
      </x:c>
      <x:c r="L51" s="3" t="str">
        <x:v>converged</x:v>
      </x:c>
      <x:c r="M51" s="12" t="n">
        <x:v>0</x:v>
      </x:c>
      <x:c r="N51" s="12" t="n">
        <x:v>0</x:v>
      </x:c>
      <x:c r="O51" s="18" t="b">
        <x:v>1</x:v>
      </x:c>
    </x:row>
    <x:row r="52" ht="23" customHeight="1">
      <x:c r="A52" s="9" t="str">
        <x:v>Momentum</x:v>
      </x:c>
      <x:c r="B52" s="9" t="str">
        <x:v>time_decay</x:v>
      </x:c>
      <x:c r="C52" s="20" t="n">
        <x:v>0.1</x:v>
      </x:c>
      <x:c r="D52" s="9" t="str">
        <x:v>η(k) = 0.1/√(1+k)</x:v>
      </x:c>
      <x:c r="E52" s="10" t="n">
        <x:v>0.9937237887925231</x:v>
      </x:c>
      <x:c r="F52" s="10" t="n">
        <x:v>0.9943072664403604</x:v>
      </x:c>
      <x:c r="G52" s="10" t="n">
        <x:v>449.12864105967026</x:v>
      </x:c>
      <x:c r="H52" s="10" t="n">
        <x:v>617.092416913593</x:v>
      </x:c>
      <x:c r="I52" s="10" t="n">
        <x:v>210776.32061680168</x:v>
      </x:c>
      <x:c r="J52" s="10" t="n">
        <x:v>201716.53622010612</x:v>
      </x:c>
      <x:c r="K52" s="11" t="n">
        <x:v>350</x:v>
      </x:c>
      <x:c r="L52" s="9" t="str">
        <x:v>converged</x:v>
      </x:c>
      <x:c r="M52" s="11" t="n">
        <x:v>0</x:v>
      </x:c>
      <x:c r="N52" s="11" t="n">
        <x:v>0</x:v>
      </x:c>
      <x:c r="O52" s="19" t="b">
        <x:v>1</x:v>
      </x:c>
    </x:row>
    <x:row r="53" ht="23" customHeight="1">
      <x:c r="A53" s="3" t="str">
        <x:v>Momentum</x:v>
      </x:c>
      <x:c r="B53" s="3" t="str">
        <x:v>time_decay</x:v>
      </x:c>
      <x:c r="C53" s="21" t="n">
        <x:v>1</x:v>
      </x:c>
      <x:c r="D53" s="3" t="str">
        <x:v>η(k) = 1/√(1+k)</x:v>
      </x:c>
      <x:c r="E53" s="8" t="n">
        <x:v>0.993723788792523</x:v>
      </x:c>
      <x:c r="F53" s="8" t="n">
        <x:v>0.9943072654128452</x:v>
      </x:c>
      <x:c r="G53" s="8" t="n">
        <x:v>449.1286815926123</x:v>
      </x:c>
      <x:c r="H53" s="8" t="n">
        <x:v>617.0924211027728</x:v>
      </x:c>
      <x:c r="I53" s="8" t="n">
        <x:v>210776.32061680796</x:v>
      </x:c>
      <x:c r="J53" s="8" t="n">
        <x:v>201716.5726291181</x:v>
      </x:c>
      <x:c r="K53" s="12" t="n">
        <x:v>350</x:v>
      </x:c>
      <x:c r="L53" s="3" t="str">
        <x:v>converged</x:v>
      </x:c>
      <x:c r="M53" s="12" t="n">
        <x:v>0</x:v>
      </x:c>
      <x:c r="N53" s="12" t="n">
        <x:v>0</x:v>
      </x:c>
      <x:c r="O53" s="18" t="b">
        <x:v>1</x:v>
      </x:c>
    </x:row>
    <x:row r="54" ht="23" customHeight="1">
      <x:c r="A54" s="9" t="str">
        <x:v>Adam</x:v>
      </x:c>
      <x:c r="B54" s="9" t="str">
        <x:v>constant</x:v>
      </x:c>
      <x:c r="C54" s="20" t="n">
        <x:v>0.00001</x:v>
      </x:c>
      <x:c r="D54" s="9" t="str">
        <x:v>η = 1e-05</x:v>
      </x:c>
      <x:c r="E54" s="10" t="n">
        <x:v>0.21529496526920078</x:v>
      </x:c>
      <x:c r="F54" s="10" t="n">
        <x:v>0.19343142392957857</x:v>
      </x:c>
      <x:c r="G54" s="10" t="n">
        <x:v>5346.024824527257</x:v>
      </x:c>
      <x:c r="H54" s="10" t="n">
        <x:v>5170.6315051006395</x:v>
      </x:c>
      <x:c r="I54" s="10" t="n">
        <x:v>26353039.20189924</x:v>
      </x:c>
      <x:c r="J54" s="10" t="n">
        <x:v>28579981.424461693</x:v>
      </x:c>
      <x:c r="K54" s="11" t="n">
        <x:v>10000</x:v>
      </x:c>
      <x:c r="L54" s="9" t="str">
        <x:v>max_iter</x:v>
      </x:c>
      <x:c r="M54" s="11" t="n">
        <x:v>0</x:v>
      </x:c>
      <x:c r="N54" s="11" t="n">
        <x:v>480</x:v>
      </x:c>
      <x:c r="O54" s="19" t="b">
        <x:v>1</x:v>
      </x:c>
    </x:row>
    <x:row r="55" ht="23" customHeight="1">
      <x:c r="A55" s="3" t="str">
        <x:v>Adam</x:v>
      </x:c>
      <x:c r="B55" s="3" t="str">
        <x:v>constant</x:v>
      </x:c>
      <x:c r="C55" s="21" t="n">
        <x:v>0.0001</x:v>
      </x:c>
      <x:c r="D55" s="3" t="str">
        <x:v>η = 0.0001</x:v>
      </x:c>
      <x:c r="E55" s="8" t="n">
        <x:v>0.9743270416352289</x:v>
      </x:c>
      <x:c r="F55" s="8" t="n">
        <x:v>0.9764118215535748</x:v>
      </x:c>
      <x:c r="G55" s="8" t="n">
        <x:v>914.2343283019171</x:v>
      </x:c>
      <x:c r="H55" s="8" t="n">
        <x:v>1010.620039653922</x:v>
      </x:c>
      <x:c r="I55" s="8" t="n">
        <x:v>862184.4492786281</x:v>
      </x:c>
      <x:c r="J55" s="8" t="n">
        <x:v>835824.4070456575</x:v>
      </x:c>
      <x:c r="K55" s="12" t="n">
        <x:v>10000</x:v>
      </x:c>
      <x:c r="L55" s="3" t="str">
        <x:v>max_iter</x:v>
      </x:c>
      <x:c r="M55" s="12" t="n">
        <x:v>0</x:v>
      </x:c>
      <x:c r="N55" s="12" t="n">
        <x:v>480</x:v>
      </x:c>
      <x:c r="O55" s="18" t="b">
        <x:v>1</x:v>
      </x:c>
    </x:row>
    <x:row r="56" ht="23" customHeight="1">
      <x:c r="A56" s="9" t="str">
        <x:v>Adam</x:v>
      </x:c>
      <x:c r="B56" s="9" t="str">
        <x:v>constant</x:v>
      </x:c>
      <x:c r="C56" s="20" t="n">
        <x:v>0.001</x:v>
      </x:c>
      <x:c r="D56" s="9" t="str">
        <x:v>η = 0.001</x:v>
      </x:c>
      <x:c r="E56" s="10" t="n">
        <x:v>0.9937237887925228</x:v>
      </x:c>
      <x:c r="F56" s="10" t="n">
        <x:v>0.994307266335633</x:v>
      </x:c>
      <x:c r="G56" s="10" t="n">
        <x:v>449.12864519090704</x:v>
      </x:c>
      <x:c r="H56" s="10" t="n">
        <x:v>617.0924289636322</x:v>
      </x:c>
      <x:c r="I56" s="10" t="n">
        <x:v>210776.320616812</x:v>
      </x:c>
      <x:c r="J56" s="10" t="n">
        <x:v>201716.53993101965</x:v>
      </x:c>
      <x:c r="K56" s="11" t="n">
        <x:v>4050</x:v>
      </x:c>
      <x:c r="L56" s="9" t="str">
        <x:v>converged</x:v>
      </x:c>
      <x:c r="M56" s="11" t="n">
        <x:v>0</x:v>
      </x:c>
      <x:c r="N56" s="11" t="n">
        <x:v>0</x:v>
      </x:c>
      <x:c r="O56" s="19" t="b">
        <x:v>1</x:v>
      </x:c>
    </x:row>
    <x:row r="57" ht="23" customHeight="1">
      <x:c r="A57" s="3" t="str">
        <x:v>Adam</x:v>
      </x:c>
      <x:c r="B57" s="3" t="str">
        <x:v>constant</x:v>
      </x:c>
      <x:c r="C57" s="21" t="n">
        <x:v>0.01</x:v>
      </x:c>
      <x:c r="D57" s="3" t="str">
        <x:v>η = 0.01</x:v>
      </x:c>
      <x:c r="E57" s="8" t="n">
        <x:v>0.993723788792523</x:v>
      </x:c>
      <x:c r="F57" s="8" t="n">
        <x:v>0.9943072662987665</x:v>
      </x:c>
      <x:c r="G57" s="8" t="n">
        <x:v>449.12864664520043</x:v>
      </x:c>
      <x:c r="H57" s="8" t="n">
        <x:v>617.0924208579527</x:v>
      </x:c>
      <x:c r="I57" s="8" t="n">
        <x:v>210776.32061680668</x:v>
      </x:c>
      <x:c r="J57" s="8" t="n">
        <x:v>201716.54123734933</x:v>
      </x:c>
      <x:c r="K57" s="12" t="n">
        <x:v>450</x:v>
      </x:c>
      <x:c r="L57" s="3" t="str">
        <x:v>converged</x:v>
      </x:c>
      <x:c r="M57" s="12" t="n">
        <x:v>0</x:v>
      </x:c>
      <x:c r="N57" s="12" t="n">
        <x:v>0</x:v>
      </x:c>
      <x:c r="O57" s="18" t="b">
        <x:v>1</x:v>
      </x:c>
    </x:row>
    <x:row r="58" ht="23" customHeight="1">
      <x:c r="A58" s="9" t="str">
        <x:v>Adam</x:v>
      </x:c>
      <x:c r="B58" s="9" t="str">
        <x:v>constant</x:v>
      </x:c>
      <x:c r="C58" s="20" t="n">
        <x:v>0.1</x:v>
      </x:c>
      <x:c r="D58" s="9" t="str">
        <x:v>η = 0.1</x:v>
      </x:c>
      <x:c r="E58" s="10" t="n">
        <x:v>0.9937237887925233</x:v>
      </x:c>
      <x:c r="F58" s="10" t="n">
        <x:v>0.9943072659177861</x:v>
      </x:c>
      <x:c r="G58" s="10" t="n">
        <x:v>449.12866167394156</x:v>
      </x:c>
      <x:c r="H58" s="10" t="n">
        <x:v>617.092421932838</x:v>
      </x:c>
      <x:c r="I58" s="10" t="n">
        <x:v>210776.32061679347</x:v>
      </x:c>
      <x:c r="J58" s="10" t="n">
        <x:v>201716.55473702587</x:v>
      </x:c>
      <x:c r="K58" s="11" t="n">
        <x:v>350</x:v>
      </x:c>
      <x:c r="L58" s="9" t="str">
        <x:v>converged</x:v>
      </x:c>
      <x:c r="M58" s="11" t="n">
        <x:v>0</x:v>
      </x:c>
      <x:c r="N58" s="11" t="n">
        <x:v>0</x:v>
      </x:c>
      <x:c r="O58" s="19" t="b">
        <x:v>1</x:v>
      </x:c>
    </x:row>
    <x:row r="59" ht="23" customHeight="1">
      <x:c r="A59" s="3" t="str">
        <x:v>Adam</x:v>
      </x:c>
      <x:c r="B59" s="3" t="str">
        <x:v>constant</x:v>
      </x:c>
      <x:c r="C59" s="21" t="n">
        <x:v>1</x:v>
      </x:c>
      <x:c r="D59" s="3" t="str">
        <x:v>η = 1</x:v>
      </x:c>
      <x:c r="E59" s="8" t="n">
        <x:v>0.9937237887925228</x:v>
      </x:c>
      <x:c r="F59" s="8" t="n">
        <x:v>0.9943072658429716</x:v>
      </x:c>
      <x:c r="G59" s="8" t="n">
        <x:v>449.12866462519014</x:v>
      </x:c>
      <x:c r="H59" s="8" t="n">
        <x:v>617.0924175856428</x:v>
      </x:c>
      <x:c r="I59" s="8" t="n">
        <x:v>210776.3206168153</x:v>
      </x:c>
      <x:c r="J59" s="8" t="n">
        <x:v>201716.55738800653</x:v>
      </x:c>
      <x:c r="K59" s="12" t="n">
        <x:v>350</x:v>
      </x:c>
      <x:c r="L59" s="3" t="str">
        <x:v>converged</x:v>
      </x:c>
      <x:c r="M59" s="12" t="n">
        <x:v>0</x:v>
      </x:c>
      <x:c r="N59" s="12" t="n">
        <x:v>0</x:v>
      </x:c>
      <x:c r="O59" s="18" t="b">
        <x:v>1</x:v>
      </x:c>
    </x:row>
    <x:row r="60" ht="23" customHeight="1">
      <x:c r="A60" s="9" t="str">
        <x:v>Adam</x:v>
      </x:c>
      <x:c r="B60" s="9" t="str">
        <x:v>time_decay</x:v>
      </x:c>
      <x:c r="C60" s="20" t="n">
        <x:v>0.00001</x:v>
      </x:c>
      <x:c r="D60" s="9" t="str">
        <x:v>η(k) = 1e-05/√(1+k)</x:v>
      </x:c>
      <x:c r="E60" s="10" t="n">
        <x:v>0.005120989712665391</x:v>
      </x:c>
      <x:c r="F60" s="10" t="n">
        <x:v>-0.02659023692536988</x:v>
      </x:c>
      <x:c r="G60" s="10" t="n">
        <x:v>6031.2716134496595</x:v>
      </x:c>
      <x:c r="H60" s="10" t="n">
        <x:v>5793.920322670584</x:v>
      </x:c>
      <x:c r="I60" s="10" t="n">
        <x:v>33411389.501589242</x:v>
      </x:c>
      <x:c r="J60" s="10" t="n">
        <x:v>36376237.27520366</x:v>
      </x:c>
      <x:c r="K60" s="11" t="n">
        <x:v>10000</x:v>
      </x:c>
      <x:c r="L60" s="9" t="str">
        <x:v>max_iter</x:v>
      </x:c>
      <x:c r="M60" s="11" t="n">
        <x:v>0</x:v>
      </x:c>
      <x:c r="N60" s="11" t="n">
        <x:v>480</x:v>
      </x:c>
      <x:c r="O60" s="19" t="b">
        <x:v>1</x:v>
      </x:c>
    </x:row>
    <x:row r="61" ht="23" customHeight="1">
      <x:c r="A61" s="3" t="str">
        <x:v>Adam</x:v>
      </x:c>
      <x:c r="B61" s="3" t="str">
        <x:v>time_decay</x:v>
      </x:c>
      <x:c r="C61" s="21" t="n">
        <x:v>0.0001</x:v>
      </x:c>
      <x:c r="D61" s="3" t="str">
        <x:v>η(k) = 0.0001/√(1+k)</x:v>
      </x:c>
      <x:c r="E61" s="8" t="n">
        <x:v>0.04938375110957338</x:v>
      </x:c>
      <x:c r="F61" s="8" t="n">
        <x:v>0.017947494603736236</x:v>
      </x:c>
      <x:c r="G61" s="8" t="n">
        <x:v>5898.99021969265</x:v>
      </x:c>
      <x:c r="H61" s="8" t="n">
        <x:v>5671.765601021948</x:v>
      </x:c>
      <x:c r="I61" s="8" t="n">
        <x:v>31924896.82644387</x:v>
      </x:c>
      <x:c r="J61" s="8" t="n">
        <x:v>34798085.61202954</x:v>
      </x:c>
      <x:c r="K61" s="12" t="n">
        <x:v>10000</x:v>
      </x:c>
      <x:c r="L61" s="3" t="str">
        <x:v>max_iter</x:v>
      </x:c>
      <x:c r="M61" s="12" t="n">
        <x:v>0</x:v>
      </x:c>
      <x:c r="N61" s="12" t="n">
        <x:v>480</x:v>
      </x:c>
      <x:c r="O61" s="18" t="b">
        <x:v>1</x:v>
      </x:c>
    </x:row>
    <x:row r="62" ht="23" customHeight="1">
      <x:c r="A62" s="9" t="str">
        <x:v>Adam</x:v>
      </x:c>
      <x:c r="B62" s="9" t="str">
        <x:v>time_decay</x:v>
      </x:c>
      <x:c r="C62" s="20" t="n">
        <x:v>0.001</x:v>
      </x:c>
      <x:c r="D62" s="9" t="str">
        <x:v>η(k) = 0.001/√(1+k)</x:v>
      </x:c>
      <x:c r="E62" s="10" t="n">
        <x:v>0.3787759950036592</x:v>
      </x:c>
      <x:c r="F62" s="10" t="n">
        <x:v>0.3617856434061153</x:v>
      </x:c>
      <x:c r="G62" s="10" t="n">
        <x:v>4755.471758437906</x:v>
      </x:c>
      <x:c r="H62" s="10" t="n">
        <x:v>4612.247599044303</x:v>
      </x:c>
      <x:c r="I62" s="10" t="n">
        <x:v>20862795.35908126</x:v>
      </x:c>
      <x:c r="J62" s="10" t="n">
        <x:v>22614511.64530051</x:v>
      </x:c>
      <x:c r="K62" s="11" t="n">
        <x:v>10000</x:v>
      </x:c>
      <x:c r="L62" s="9" t="str">
        <x:v>max_iter</x:v>
      </x:c>
      <x:c r="M62" s="11" t="n">
        <x:v>0</x:v>
      </x:c>
      <x:c r="N62" s="11" t="n">
        <x:v>480</x:v>
      </x:c>
      <x:c r="O62" s="19" t="b">
        <x:v>1</x:v>
      </x:c>
    </x:row>
    <x:row r="63" ht="23" customHeight="1">
      <x:c r="A63" s="3" t="str">
        <x:v>Adam</x:v>
      </x:c>
      <x:c r="B63" s="3" t="str">
        <x:v>time_decay</x:v>
      </x:c>
      <x:c r="C63" s="21" t="n">
        <x:v>0.01</x:v>
      </x:c>
      <x:c r="D63" s="3" t="str">
        <x:v>η(k) = 0.01/√(1+k)</x:v>
      </x:c>
      <x:c r="E63" s="8" t="n">
        <x:v>0.9937237887925213</x:v>
      </x:c>
      <x:c r="F63" s="8" t="n">
        <x:v>0.9943072667474403</x:v>
      </x:c>
      <x:c r="G63" s="8" t="n">
        <x:v>449.12862894612545</x:v>
      </x:c>
      <x:c r="H63" s="8" t="n">
        <x:v>617.0924155620393</x:v>
      </x:c>
      <x:c r="I63" s="8" t="n">
        <x:v>210776.3206168608</x:v>
      </x:c>
      <x:c r="J63" s="8" t="n">
        <x:v>201716.5253390264</x:v>
      </x:c>
      <x:c r="K63" s="12" t="n">
        <x:v>9050</x:v>
      </x:c>
      <x:c r="L63" s="3" t="str">
        <x:v>converged</x:v>
      </x:c>
      <x:c r="M63" s="12" t="n">
        <x:v>0</x:v>
      </x:c>
      <x:c r="N63" s="12" t="n">
        <x:v>0</x:v>
      </x:c>
      <x:c r="O63" s="18" t="b">
        <x:v>1</x:v>
      </x:c>
    </x:row>
    <x:row r="64" ht="23" customHeight="1">
      <x:c r="A64" s="9" t="str">
        <x:v>Adam</x:v>
      </x:c>
      <x:c r="B64" s="9" t="str">
        <x:v>time_decay</x:v>
      </x:c>
      <x:c r="C64" s="20" t="n">
        <x:v>0.1</x:v>
      </x:c>
      <x:c r="D64" s="9" t="str">
        <x:v>η(k) = 0.1/√(1+k)</x:v>
      </x:c>
      <x:c r="E64" s="10" t="n">
        <x:v>0.9937237887925233</x:v>
      </x:c>
      <x:c r="F64" s="10" t="n">
        <x:v>0.9943072660634326</x:v>
      </x:c>
      <x:c r="G64" s="10" t="n">
        <x:v>449.1286559285479</x:v>
      </x:c>
      <x:c r="H64" s="10" t="n">
        <x:v>617.0924227110382</x:v>
      </x:c>
      <x:c r="I64" s="10" t="n">
        <x:v>210776.32061679472</x:v>
      </x:c>
      <x:c r="J64" s="10" t="n">
        <x:v>201716.54957618396</x:v>
      </x:c>
      <x:c r="K64" s="11" t="n">
        <x:v>350</x:v>
      </x:c>
      <x:c r="L64" s="9" t="str">
        <x:v>converged</x:v>
      </x:c>
      <x:c r="M64" s="11" t="n">
        <x:v>0</x:v>
      </x:c>
      <x:c r="N64" s="11" t="n">
        <x:v>0</x:v>
      </x:c>
      <x:c r="O64" s="19" t="b">
        <x:v>1</x:v>
      </x:c>
    </x:row>
    <x:row r="65" ht="23" customHeight="1">
      <x:c r="A65" s="3" t="str">
        <x:v>Adam</x:v>
      </x:c>
      <x:c r="B65" s="3" t="str">
        <x:v>time_decay</x:v>
      </x:c>
      <x:c r="C65" s="21" t="n">
        <x:v>1</x:v>
      </x:c>
      <x:c r="D65" s="3" t="str">
        <x:v>η(k) = 1/√(1+k)</x:v>
      </x:c>
      <x:c r="E65" s="8" t="n">
        <x:v>0.9937237887925233</x:v>
      </x:c>
      <x:c r="F65" s="8" t="n">
        <x:v>0.9943072656821119</x:v>
      </x:c>
      <x:c r="G65" s="8" t="n">
        <x:v>449.1286709707075</x:v>
      </x:c>
      <x:c r="H65" s="8" t="n">
        <x:v>617.092426685917</x:v>
      </x:c>
      <x:c r="I65" s="8" t="n">
        <x:v>210776.32061679664</x:v>
      </x:c>
      <x:c r="J65" s="8" t="n">
        <x:v>201716.56308791405</x:v>
      </x:c>
      <x:c r="K65" s="12" t="n">
        <x:v>350</x:v>
      </x:c>
      <x:c r="L65" s="3" t="str">
        <x:v>converged</x:v>
      </x:c>
      <x:c r="M65" s="12" t="n">
        <x:v>0</x:v>
      </x:c>
      <x:c r="N65" s="12" t="n">
        <x:v>0</x:v>
      </x:c>
      <x:c r="O65" s="18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5" hidden="0" customWidth="1"/>
    <x:col min="3" max="3" width="28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</x:cols>
  <x:sheetData>
    <x:row r="1" ht="10" customHeight="1"/>
    <x:row r="2">
      <x:c r="A2" s="1" t="str">
        <x:v>Проверки модели и коэффициентов на train</x:v>
      </x:c>
    </x:row>
    <x:row r="3">
      <x:c r="A3" s="2" t="str">
        <x:v>α=0.05. t — двусторонняя проверка; p после отбора имеют разведочный смысл.</x:v>
      </x:c>
    </x:row>
    <x:row r="5" ht="44" customHeight="1">
      <x:c r="A5" s="7" t="str">
        <x:v>Признак</x:v>
      </x:c>
      <x:c r="B5" s="7" t="str">
        <x:v>Коэффициент</x:v>
      </x:c>
      <x:c r="C5" s="7" t="str">
        <x:v>Стандартная ошибка</x:v>
      </x:c>
      <x:c r="D5" s="7" t="str">
        <x:v>t</x:v>
      </x:c>
      <x:c r="E5" s="7" t="str">
        <x:v>p_value</x:v>
      </x:c>
      <x:c r="F5" s="7" t="str">
        <x:v>Значим</x:v>
      </x:c>
    </x:row>
    <x:row r="6" ht="23" customHeight="1">
      <x:c r="A6" s="9" t="str">
        <x:v>const</x:v>
      </x:c>
      <x:c r="B6" s="10" t="n">
        <x:v>-88738.82347874461</x:v>
      </x:c>
      <x:c r="C6" s="10" t="n">
        <x:v>2747.4423463040694</x:v>
      </x:c>
      <x:c r="D6" s="10" t="n">
        <x:v>-32.29870268183002</x:v>
      </x:c>
      <x:c r="E6" s="22" t="n">
        <x:v>1.1220511554158061e-120</x:v>
      </x:c>
      <x:c r="F6" s="19" t="b">
        <x:v>1</x:v>
      </x:c>
    </x:row>
    <x:row r="7" ht="23" customHeight="1">
      <x:c r="A7" s="3" t="str">
        <x:v>Общая_площадь_м2</x:v>
      </x:c>
      <x:c r="B7" s="8" t="n">
        <x:v>179.63992516765924</x:v>
      </x:c>
      <x:c r="C7" s="8" t="n">
        <x:v>3.506180563794907</x:v>
      </x:c>
      <x:c r="D7" s="8" t="n">
        <x:v>51.23521789568828</x:v>
      </x:c>
      <x:c r="E7" s="23" t="n">
        <x:v>6.67086388085605e-193</x:v>
      </x:c>
      <x:c r="F7" s="18" t="b">
        <x:v>1</x:v>
      </x:c>
    </x:row>
    <x:row r="8" ht="23" customHeight="1">
      <x:c r="A8" s="9" t="str">
        <x:v>Жилая_площадь_м2</x:v>
      </x:c>
      <x:c r="B8" s="10" t="n">
        <x:v>-3.613969231670971</x:v>
      </x:c>
      <x:c r="C8" s="10" t="n">
        <x:v>5.0409422618921935</x:v>
      </x:c>
      <x:c r="D8" s="10" t="n">
        <x:v>-0.7169233535942967</x:v>
      </x:c>
      <x:c r="E8" s="22" t="n">
        <x:v>0.4737828853501741</x:v>
      </x:c>
      <x:c r="F8" s="19" t="b">
        <x:v>0</x:v>
      </x:c>
    </x:row>
    <x:row r="9" ht="23" customHeight="1">
      <x:c r="A9" s="3" t="str">
        <x:v>Количество_комнат</x:v>
      </x:c>
      <x:c r="B9" s="8" t="n">
        <x:v>-34.63024908607805</x:v>
      </x:c>
      <x:c r="C9" s="8" t="n">
        <x:v>40.73903037654437</x:v>
      </x:c>
      <x:c r="D9" s="8" t="n">
        <x:v>-0.8500508913932456</x:v>
      </x:c>
      <x:c r="E9" s="23" t="n">
        <x:v>0.39573614204766533</x:v>
      </x:c>
      <x:c r="F9" s="18" t="b">
        <x:v>0</x:v>
      </x:c>
    </x:row>
    <x:row r="10" ht="23" customHeight="1">
      <x:c r="A10" s="9" t="str">
        <x:v>Этаж</x:v>
      </x:c>
      <x:c r="B10" s="10" t="n">
        <x:v>24.431148900319833</x:v>
      </x:c>
      <x:c r="C10" s="10" t="n">
        <x:v>2.9237384165860605</x:v>
      </x:c>
      <x:c r="D10" s="10" t="n">
        <x:v>8.35613362731922</x:v>
      </x:c>
      <x:c r="E10" s="22" t="n">
        <x:v>7.618798425059504e-16</x:v>
      </x:c>
      <x:c r="F10" s="19" t="b">
        <x:v>1</x:v>
      </x:c>
    </x:row>
    <x:row r="11" ht="23" customHeight="1">
      <x:c r="A11" s="3" t="str">
        <x:v>Год_постройки</x:v>
      </x:c>
      <x:c r="B11" s="8" t="n">
        <x:v>45.733410542748494</x:v>
      </x:c>
      <x:c r="C11" s="8" t="n">
        <x:v>1.3694180299673995</x:v>
      </x:c>
      <x:c r="D11" s="8" t="n">
        <x:v>33.39623806752218</x:v>
      </x:c>
      <x:c r="E11" s="23" t="n">
        <x:v>2.210489400553044e-125</x:v>
      </x:c>
      <x:c r="F11" s="18" t="b">
        <x:v>1</x:v>
      </x:c>
    </x:row>
    <x:row r="12" ht="23" customHeight="1">
      <x:c r="A12" s="9" t="str">
        <x:v>Расстояние_до_метро_мин</x:v>
      </x:c>
      <x:c r="B12" s="10" t="n">
        <x:v>-70.25521570661832</x:v>
      </x:c>
      <x:c r="C12" s="10" t="n">
        <x:v>35.172683140506514</x:v>
      </x:c>
      <x:c r="D12" s="10" t="n">
        <x:v>-1.997436915061766</x:v>
      </x:c>
      <x:c r="E12" s="22" t="n">
        <x:v>0.04636242792291187</x:v>
      </x:c>
      <x:c r="F12" s="19" t="b">
        <x:v>1</x:v>
      </x:c>
    </x:row>
    <x:row r="13" ht="23" customHeight="1">
      <x:c r="A13" s="3" t="str">
        <x:v>Расстояние_до_метро_м</x:v>
      </x:c>
      <x:c r="B13" s="8" t="n">
        <x:v>-0.34323877818354326</x:v>
      </x:c>
      <x:c r="C13" s="8" t="n">
        <x:v>0.4387933507644647</x:v>
      </x:c>
      <x:c r="D13" s="8" t="n">
        <x:v>-0.7822333168575902</x:v>
      </x:c>
      <x:c r="E13" s="23" t="n">
        <x:v>0.4344773264441452</x:v>
      </x:c>
      <x:c r="F13" s="18" t="b">
        <x:v>0</x:v>
      </x:c>
    </x:row>
    <x:row r="14" ht="23" customHeight="1">
      <x:c r="A14" s="9" t="str">
        <x:v>Номер_подъезда</x:v>
      </x:c>
      <x:c r="B14" s="10" t="n">
        <x:v>16.860683729264316</x:v>
      </x:c>
      <x:c r="C14" s="10" t="n">
        <x:v>8.081710568636385</x:v>
      </x:c>
      <x:c r="D14" s="10" t="n">
        <x:v>2.086276610139627</x:v>
      </x:c>
      <x:c r="E14" s="22" t="n">
        <x:v>0.03750026223157726</x:v>
      </x:c>
      <x:c r="F14" s="19" t="b">
        <x:v>1</x:v>
      </x:c>
    </x:row>
    <x:row r="15" ht="23" customHeight="1">
      <x:c r="A15" s="3" t="str">
        <x:v>Код_домофона</x:v>
      </x:c>
      <x:c r="B15" s="8" t="n">
        <x:v>-0.04761187053759894</x:v>
      </x:c>
      <x:c r="C15" s="8" t="n">
        <x:v>0.08345082718983554</x:v>
      </x:c>
      <x:c r="D15" s="8" t="n">
        <x:v>-0.5705380298902315</x:v>
      </x:c>
      <x:c r="E15" s="23" t="n">
        <x:v>0.5685896117272947</x:v>
      </x:c>
      <x:c r="F15" s="18" t="b">
        <x:v>0</x:v>
      </x:c>
    </x:row>
    <x:row r="16" ht="23" customHeight="1">
      <x:c r="A16" s="9" t="str">
        <x:v>Случайный_показатель_шум</x:v>
      </x:c>
      <x:c r="B16" s="10" t="n">
        <x:v>-1.0400352502018635</x:v>
      </x:c>
      <x:c r="C16" s="10" t="n">
        <x:v>1.4083708619682105</x:v>
      </x:c>
      <x:c r="D16" s="10" t="n">
        <x:v>-0.7384668898562735</x:v>
      </x:c>
      <x:c r="E16" s="22" t="n">
        <x:v>0.4606049332460258</x:v>
      </x:c>
      <x:c r="F16" s="19" t="b">
        <x:v>0</x:v>
      </x:c>
    </x:row>
    <x:row r="17" ht="23" customHeight="1">
      <x:c r="A17" s="3" t="str">
        <x:v>День_недели_публикации_Вт</x:v>
      </x:c>
      <x:c r="B17" s="8" t="n">
        <x:v>62.05858696897383</x:v>
      </x:c>
      <x:c r="C17" s="8" t="n">
        <x:v>81.1907106645984</x:v>
      </x:c>
      <x:c r="D17" s="8" t="n">
        <x:v>0.7643557552456952</x:v>
      </x:c>
      <x:c r="E17" s="23" t="n">
        <x:v>0.44504463460079297</x:v>
      </x:c>
      <x:c r="F17" s="18" t="b">
        <x:v>0</x:v>
      </x:c>
    </x:row>
    <x:row r="18" ht="23" customHeight="1">
      <x:c r="A18" s="9" t="str">
        <x:v>День_недели_публикации_Пн</x:v>
      </x:c>
      <x:c r="B18" s="10" t="n">
        <x:v>3.8394740724197183</x:v>
      </x:c>
      <x:c r="C18" s="10" t="n">
        <x:v>78.27138057055271</x:v>
      </x:c>
      <x:c r="D18" s="10" t="n">
        <x:v>0.049053358257286274</x:v>
      </x:c>
      <x:c r="E18" s="22" t="n">
        <x:v>0.9608979263137951</x:v>
      </x:c>
      <x:c r="F18" s="19" t="b">
        <x:v>0</x:v>
      </x:c>
    </x:row>
    <x:row r="19" ht="23" customHeight="1">
      <x:c r="A19" s="3" t="str">
        <x:v>День_недели_публикации_Пт</x:v>
      </x:c>
      <x:c r="B19" s="8" t="n">
        <x:v>39.483664386641756</x:v>
      </x:c>
      <x:c r="C19" s="8" t="n">
        <x:v>79.49614060161612</x:v>
      </x:c>
      <x:c r="D19" s="8" t="n">
        <x:v>0.4966739779797445</x:v>
      </x:c>
      <x:c r="E19" s="23" t="n">
        <x:v>0.6196547058652881</x:v>
      </x:c>
      <x:c r="F19" s="18" t="b">
        <x:v>0</x:v>
      </x:c>
    </x:row>
    <x:row r="20" ht="23" customHeight="1">
      <x:c r="A20" s="9" t="str">
        <x:v>День_недели_публикации_Сб</x:v>
      </x:c>
      <x:c r="B20" s="10" t="n">
        <x:v>-116.1509352671137</x:v>
      </x:c>
      <x:c r="C20" s="10" t="n">
        <x:v>81.9777651527444</x:v>
      </x:c>
      <x:c r="D20" s="10" t="n">
        <x:v>-1.4168590111074195</x:v>
      </x:c>
      <x:c r="E20" s="22" t="n">
        <x:v>0.15719664607294204</x:v>
      </x:c>
      <x:c r="F20" s="19" t="b">
        <x:v>0</x:v>
      </x:c>
    </x:row>
    <x:row r="21" ht="23" customHeight="1">
      <x:c r="A21" s="3" t="str">
        <x:v>День_недели_публикации_Ср</x:v>
      </x:c>
      <x:c r="B21" s="8" t="n">
        <x:v>59.80252673803541</x:v>
      </x:c>
      <x:c r="C21" s="8" t="n">
        <x:v>79.72707340823965</x:v>
      </x:c>
      <x:c r="D21" s="8" t="n">
        <x:v>0.7500905800444813</x:v>
      </x:c>
      <x:c r="E21" s="23" t="n">
        <x:v>0.45358113770063263</x:v>
      </x:c>
      <x:c r="F21" s="18" t="b">
        <x:v>0</x:v>
      </x:c>
    </x:row>
    <x:row r="22" ht="23" customHeight="1">
      <x:c r="A22" s="9" t="str">
        <x:v>День_недели_публикации_Чт</x:v>
      </x:c>
      <x:c r="B22" s="10" t="n">
        <x:v>91.1867478544392</x:v>
      </x:c>
      <x:c r="C22" s="10" t="n">
        <x:v>78.64041667751331</x:v>
      </x:c>
      <x:c r="D22" s="10" t="n">
        <x:v>1.159540497202292</x:v>
      </x:c>
      <x:c r="E22" s="22" t="n">
        <x:v>0.24683356328743195</x:v>
      </x:c>
      <x:c r="F22" s="19" t="b">
        <x:v>0</x:v>
      </x:c>
    </x:row>
    <x:row r="25">
      <x:c r="A25" s="13" t="str">
        <x:v>После отбора</x:v>
      </x:c>
    </x:row>
    <x:row r="27" ht="44" customHeight="1">
      <x:c r="A27" s="7" t="str">
        <x:v>Признак</x:v>
      </x:c>
      <x:c r="B27" s="7" t="str">
        <x:v>Коэффициент</x:v>
      </x:c>
      <x:c r="C27" s="7" t="str">
        <x:v>Стандартная ошибка</x:v>
      </x:c>
      <x:c r="D27" s="7" t="str">
        <x:v>t</x:v>
      </x:c>
      <x:c r="E27" s="7" t="str">
        <x:v>p_value</x:v>
      </x:c>
      <x:c r="F27" s="7" t="str">
        <x:v>Значим</x:v>
      </x:c>
    </x:row>
    <x:row r="28" ht="23" customHeight="1">
      <x:c r="A28" s="9" t="str">
        <x:v>const</x:v>
      </x:c>
      <x:c r="B28" s="10" t="n">
        <x:v>-88353.70052730206</x:v>
      </x:c>
      <x:c r="C28" s="10" t="n">
        <x:v>2710.8397758073256</x:v>
      </x:c>
      <x:c r="D28" s="10" t="n">
        <x:v>-32.592741672085396</x:v>
      </x:c>
      <x:c r="E28" s="22" t="n">
        <x:v>4.065017074023819e-123</x:v>
      </x:c>
      <x:c r="F28" s="19" t="b">
        <x:v>1</x:v>
      </x:c>
    </x:row>
    <x:row r="29" ht="23" customHeight="1">
      <x:c r="A29" s="3" t="str">
        <x:v>Общая_площадь_м2</x:v>
      </x:c>
      <x:c r="B29" s="8" t="n">
        <x:v>176.19282197859934</x:v>
      </x:c>
      <x:c r="C29" s="8" t="n">
        <x:v>0.6549732383666675</x:v>
      </x:c>
      <x:c r="D29" s="8" t="n">
        <x:v>269.0076657452117</x:v>
      </x:c>
      <x:c r="E29" s="23" t="n">
        <x:v>0</x:v>
      </x:c>
      <x:c r="F29" s="18" t="b">
        <x:v>1</x:v>
      </x:c>
    </x:row>
    <x:row r="30" ht="23" customHeight="1">
      <x:c r="A30" s="9" t="str">
        <x:v>Этаж</x:v>
      </x:c>
      <x:c r="B30" s="10" t="n">
        <x:v>24.273051902570714</x:v>
      </x:c>
      <x:c r="C30" s="10" t="n">
        <x:v>2.9138492041926396</x:v>
      </x:c>
      <x:c r="D30" s="10" t="n">
        <x:v>8.330236124657732</x:v>
      </x:c>
      <x:c r="E30" s="22" t="n">
        <x:v>8.753235422685956e-16</x:v>
      </x:c>
      <x:c r="F30" s="19" t="b">
        <x:v>1</x:v>
      </x:c>
    </x:row>
    <x:row r="31" ht="23" customHeight="1">
      <x:c r="A31" s="3" t="str">
        <x:v>Год_постройки</x:v>
      </x:c>
      <x:c r="B31" s="8" t="n">
        <x:v>45.50780160170844</x:v>
      </x:c>
      <x:c r="C31" s="8" t="n">
        <x:v>1.3526861682670681</x:v>
      </x:c>
      <x:c r="D31" s="8" t="n">
        <x:v>33.642542275721404</x:v>
      </x:c>
      <x:c r="E31" s="23" t="n">
        <x:v>1.1185852811405456e-127</x:v>
      </x:c>
      <x:c r="F31" s="18" t="b">
        <x:v>1</x:v>
      </x:c>
    </x:row>
    <x:row r="32" ht="23" customHeight="1">
      <x:c r="A32" s="9" t="str">
        <x:v>Расстояние_до_метро_мин</x:v>
      </x:c>
      <x:c r="B32" s="10" t="n">
        <x:v>-97.66833034579004</x:v>
      </x:c>
      <x:c r="C32" s="10" t="n">
        <x:v>2.225845405112206</x:v>
      </x:c>
      <x:c r="D32" s="10" t="n">
        <x:v>-43.87920657987769</x:v>
      </x:c>
      <x:c r="E32" s="22" t="n">
        <x:v>4.866087004220793e-169</x:v>
      </x:c>
      <x:c r="F32" s="19" t="b">
        <x:v>1</x:v>
      </x:c>
    </x:row>
    <x:row r="33" ht="23" customHeight="1">
      <x:c r="A33" s="3" t="str">
        <x:v>Номер_подъезда</x:v>
      </x:c>
      <x:c r="B33" s="8" t="n">
        <x:v>15.653951281270524</x:v>
      </x:c>
      <x:c r="C33" s="8" t="n">
        <x:v>7.9326776077622085</x:v>
      </x:c>
      <x:c r="D33" s="8" t="n">
        <x:v>1.9733502425401692</x:v>
      </x:c>
      <x:c r="E33" s="23" t="n">
        <x:v>0.04903611542173287</x:v>
      </x:c>
      <x:c r="F33" s="18" t="b">
        <x:v>1</x:v>
      </x:c>
    </x:row>
    <x:row r="36">
      <x:c r="A36" s="13" t="str">
        <x:v>Значимость модели в целом</x:v>
      </x:c>
    </x:row>
    <x:row r="38" ht="44" customHeight="1">
      <x:c r="A38" s="7" t="str">
        <x:v>Этап</x:v>
      </x:c>
      <x:c r="B38" s="7" t="str">
        <x:v>n</x:v>
      </x:c>
      <x:c r="C38" s="7" t="str">
        <x:v>k</x:v>
      </x:c>
      <x:c r="D38" s="7" t="str">
        <x:v>R2_train</x:v>
      </x:c>
      <x:c r="E38" s="7" t="str">
        <x:v>F</x:v>
      </x:c>
      <x:c r="F38" s="7" t="str">
        <x:v>F_critical</x:v>
      </x:c>
      <x:c r="G38" s="7" t="str">
        <x:v>p_value</x:v>
      </x:c>
    </x:row>
    <x:row r="39" ht="23" customHeight="1">
      <x:c r="A39" s="9" t="str">
        <x:v>Полная модель</x:v>
      </x:c>
      <x:c r="B39" s="10" t="n">
        <x:v>480</x:v>
      </x:c>
      <x:c r="C39" s="10" t="n">
        <x:v>16</x:v>
      </x:c>
      <x:c r="D39" s="10" t="n">
        <x:v>0.9938611756543311</x:v>
      </x:c>
      <x:c r="E39" s="10" t="n">
        <x:v>4684.91296558891</x:v>
      </x:c>
      <x:c r="F39" s="10" t="n">
        <x:v>1.6653853846485143</x:v>
      </x:c>
      <x:c r="G39" s="10" t="n">
        <x:v>0</x:v>
      </x:c>
    </x:row>
    <x:row r="40" ht="23" customHeight="1">
      <x:c r="A40" s="3" t="str">
        <x:v>После отбора</x:v>
      </x:c>
      <x:c r="B40" s="8" t="n">
        <x:v>480</x:v>
      </x:c>
      <x:c r="C40" s="8" t="n">
        <x:v>5</x:v>
      </x:c>
      <x:c r="D40" s="8" t="n">
        <x:v>0.9937237887925233</x:v>
      </x:c>
      <x:c r="E40" s="8" t="n">
        <x:v>15009.854203967412</x:v>
      </x:c>
      <x:c r="F40" s="8" t="n">
        <x:v>2.233030933742519</x:v>
      </x:c>
      <x:c r="G40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10" customHeight="1"/>
    <x:row r="2">
      <x:c r="A2" s="1" t="str">
        <x:v>Парные корреляции на train</x:v>
      </x:c>
    </x:row>
    <x:row r="3">
      <x:c r="A3" s="2" t="str">
        <x:v>До отбора: исходные числовые признаки. Порог избыточности |r| ≥ 0.85.</x:v>
      </x:c>
    </x:row>
    <x:row r="5" ht="44" customHeight="1">
      <x:c r="A5" s="7" t="str">
        <x:v>Признак</x:v>
      </x:c>
      <x:c r="B5" s="7" t="str">
        <x:v>1</x:v>
      </x:c>
      <x:c r="C5" s="7" t="str">
        <x:v>2</x:v>
      </x:c>
      <x:c r="D5" s="7" t="str">
        <x:v>3</x:v>
      </x:c>
      <x:c r="E5" s="7" t="str">
        <x:v>4</x:v>
      </x:c>
      <x:c r="F5" s="7" t="str">
        <x:v>5</x:v>
      </x:c>
      <x:c r="G5" s="7" t="str">
        <x:v>6</x:v>
      </x:c>
      <x:c r="H5" s="7" t="str">
        <x:v>7</x:v>
      </x:c>
      <x:c r="I5" s="7" t="str">
        <x:v>8</x:v>
      </x:c>
      <x:c r="J5" s="7" t="str">
        <x:v>9</x:v>
      </x:c>
      <x:c r="K5" s="7" t="str">
        <x:v>10</x:v>
      </x:c>
    </x:row>
    <x:row r="6" ht="23" customHeight="1">
      <x:c r="A6" s="9" t="str">
        <x:v>1. Общая_площадь_м2</x:v>
      </x:c>
      <x:c r="B6" s="24" t="n">
        <x:v>1</x:v>
      </x:c>
      <x:c r="C6" s="24" t="n">
        <x:v>0.9785421096786068</x:v>
      </x:c>
      <x:c r="D6" s="24" t="n">
        <x:v>0.9118082091023814</x:v>
      </x:c>
      <x:c r="E6" s="24" t="n">
        <x:v>-0.08555299090772682</x:v>
      </x:c>
      <x:c r="F6" s="24" t="n">
        <x:v>-0.029610422980488497</x:v>
      </x:c>
      <x:c r="G6" s="24" t="n">
        <x:v>0.013340540284487485</x:v>
      </x:c>
      <x:c r="H6" s="24" t="n">
        <x:v>0.01775518726391165</x:v>
      </x:c>
      <x:c r="I6" s="24" t="n">
        <x:v>-0.0035528951233139935</x:v>
      </x:c>
      <x:c r="J6" s="24" t="n">
        <x:v>-0.07499249933791004</x:v>
      </x:c>
      <x:c r="K6" s="24" t="n">
        <x:v>-0.007289030196894616</x:v>
      </x:c>
    </x:row>
    <x:row r="7" ht="23" customHeight="1">
      <x:c r="A7" s="3" t="str">
        <x:v>2. Жилая_площадь_м2</x:v>
      </x:c>
      <x:c r="B7" s="25" t="n">
        <x:v>0.9785421096786068</x:v>
      </x:c>
      <x:c r="C7" s="25" t="n">
        <x:v>1</x:v>
      </x:c>
      <x:c r="D7" s="25" t="n">
        <x:v>0.8940571241032317</x:v>
      </x:c>
      <x:c r="E7" s="25" t="n">
        <x:v>-0.08134447513374142</x:v>
      </x:c>
      <x:c r="F7" s="25" t="n">
        <x:v>-0.04385858202574492</x:v>
      </x:c>
      <x:c r="G7" s="25" t="n">
        <x:v>0.013159843457728929</x:v>
      </x:c>
      <x:c r="H7" s="25" t="n">
        <x:v>0.01727303542446734</x:v>
      </x:c>
      <x:c r="I7" s="25" t="n">
        <x:v>-0.006628927697814932</x:v>
      </x:c>
      <x:c r="J7" s="25" t="n">
        <x:v>-0.06835472805175748</x:v>
      </x:c>
      <x:c r="K7" s="25" t="n">
        <x:v>0.0045661033539263615</x:v>
      </x:c>
    </x:row>
    <x:row r="8" ht="23" customHeight="1">
      <x:c r="A8" s="9" t="str">
        <x:v>3. Количество_комнат</x:v>
      </x:c>
      <x:c r="B8" s="24" t="n">
        <x:v>0.9118082091023814</x:v>
      </x:c>
      <x:c r="C8" s="24" t="n">
        <x:v>0.8940571241032317</x:v>
      </x:c>
      <x:c r="D8" s="24" t="n">
        <x:v>1</x:v>
      </x:c>
      <x:c r="E8" s="24" t="n">
        <x:v>-0.09226012468816794</x:v>
      </x:c>
      <x:c r="F8" s="24" t="n">
        <x:v>-0.022431617612262353</x:v>
      </x:c>
      <x:c r="G8" s="24" t="n">
        <x:v>0.03769114970614944</x:v>
      </x:c>
      <x:c r="H8" s="24" t="n">
        <x:v>0.04292000602406677</x:v>
      </x:c>
      <x:c r="I8" s="24" t="n">
        <x:v>-0.0401456020437265</x:v>
      </x:c>
      <x:c r="J8" s="24" t="n">
        <x:v>-0.055051170673278915</x:v>
      </x:c>
      <x:c r="K8" s="24" t="n">
        <x:v>-0.028892958360330904</x:v>
      </x:c>
    </x:row>
    <x:row r="9" ht="23" customHeight="1">
      <x:c r="A9" s="3" t="str">
        <x:v>4. Этаж</x:v>
      </x:c>
      <x:c r="B9" s="25" t="n">
        <x:v>-0.08555299090772682</x:v>
      </x:c>
      <x:c r="C9" s="25" t="n">
        <x:v>-0.08134447513374142</x:v>
      </x:c>
      <x:c r="D9" s="25" t="n">
        <x:v>-0.09226012468816794</x:v>
      </x:c>
      <x:c r="E9" s="25" t="n">
        <x:v>1</x:v>
      </x:c>
      <x:c r="F9" s="25" t="n">
        <x:v>-0.09499125002679339</x:v>
      </x:c>
      <x:c r="G9" s="25" t="n">
        <x:v>-0.021903064158379684</x:v>
      </x:c>
      <x:c r="H9" s="25" t="n">
        <x:v>-0.022022339636511287</x:v>
      </x:c>
      <x:c r="I9" s="25" t="n">
        <x:v>0.0704042929299097</x:v>
      </x:c>
      <x:c r="J9" s="25" t="n">
        <x:v>-0.031905651183651136</x:v>
      </x:c>
      <x:c r="K9" s="25" t="n">
        <x:v>0.026016554477746767</x:v>
      </x:c>
    </x:row>
    <x:row r="10" ht="23" customHeight="1">
      <x:c r="A10" s="9" t="str">
        <x:v>5. Год_постройки</x:v>
      </x:c>
      <x:c r="B10" s="24" t="n">
        <x:v>-0.029610422980488497</x:v>
      </x:c>
      <x:c r="C10" s="24" t="n">
        <x:v>-0.04385858202574492</x:v>
      </x:c>
      <x:c r="D10" s="24" t="n">
        <x:v>-0.022431617612262353</x:v>
      </x:c>
      <x:c r="E10" s="24" t="n">
        <x:v>-0.09499125002679339</x:v>
      </x:c>
      <x:c r="F10" s="24" t="n">
        <x:v>1</x:v>
      </x:c>
      <x:c r="G10" s="24" t="n">
        <x:v>-0.057444824713226</x:v>
      </x:c>
      <x:c r="H10" s="24" t="n">
        <x:v>-0.05599375516607986</x:v>
      </x:c>
      <x:c r="I10" s="24" t="n">
        <x:v>0.003804870668606701</x:v>
      </x:c>
      <x:c r="J10" s="24" t="n">
        <x:v>0.022590102804193785</x:v>
      </x:c>
      <x:c r="K10" s="24" t="n">
        <x:v>0.003530483815618913</x:v>
      </x:c>
    </x:row>
    <x:row r="11" ht="23" customHeight="1">
      <x:c r="A11" s="3" t="str">
        <x:v>6. Расстояние_до_метро_мин</x:v>
      </x:c>
      <x:c r="B11" s="25" t="n">
        <x:v>0.013340540284487485</x:v>
      </x:c>
      <x:c r="C11" s="25" t="n">
        <x:v>0.013159843457728929</x:v>
      </x:c>
      <x:c r="D11" s="25" t="n">
        <x:v>0.03769114970614944</x:v>
      </x:c>
      <x:c r="E11" s="25" t="n">
        <x:v>-0.021903064158379684</x:v>
      </x:c>
      <x:c r="F11" s="25" t="n">
        <x:v>-0.057444824713226</x:v>
      </x:c>
      <x:c r="G11" s="25" t="n">
        <x:v>1</x:v>
      </x:c>
      <x:c r="H11" s="25" t="n">
        <x:v>0.9979695349851684</x:v>
      </x:c>
      <x:c r="I11" s="25" t="n">
        <x:v>0.011869237973628276</x:v>
      </x:c>
      <x:c r="J11" s="25" t="n">
        <x:v>0.04287768777481805</x:v>
      </x:c>
      <x:c r="K11" s="25" t="n">
        <x:v>-0.028640171300762973</x:v>
      </x:c>
    </x:row>
    <x:row r="12" ht="23" customHeight="1">
      <x:c r="A12" s="9" t="str">
        <x:v>7. Расстояние_до_метро_м</x:v>
      </x:c>
      <x:c r="B12" s="24" t="n">
        <x:v>0.01775518726391165</x:v>
      </x:c>
      <x:c r="C12" s="24" t="n">
        <x:v>0.01727303542446734</x:v>
      </x:c>
      <x:c r="D12" s="24" t="n">
        <x:v>0.04292000602406677</x:v>
      </x:c>
      <x:c r="E12" s="24" t="n">
        <x:v>-0.022022339636511287</x:v>
      </x:c>
      <x:c r="F12" s="24" t="n">
        <x:v>-0.05599375516607986</x:v>
      </x:c>
      <x:c r="G12" s="24" t="n">
        <x:v>0.9979695349851684</x:v>
      </x:c>
      <x:c r="H12" s="24" t="n">
        <x:v>1</x:v>
      </x:c>
      <x:c r="I12" s="24" t="n">
        <x:v>0.00810738508358567</x:v>
      </x:c>
      <x:c r="J12" s="24" t="n">
        <x:v>0.04437336560357919</x:v>
      </x:c>
      <x:c r="K12" s="24" t="n">
        <x:v>-0.030043474550761947</x:v>
      </x:c>
    </x:row>
    <x:row r="13" ht="23" customHeight="1">
      <x:c r="A13" s="3" t="str">
        <x:v>8. Номер_подъезда</x:v>
      </x:c>
      <x:c r="B13" s="25" t="n">
        <x:v>-0.0035528951233139935</x:v>
      </x:c>
      <x:c r="C13" s="25" t="n">
        <x:v>-0.006628927697814932</x:v>
      </x:c>
      <x:c r="D13" s="25" t="n">
        <x:v>-0.0401456020437265</x:v>
      </x:c>
      <x:c r="E13" s="25" t="n">
        <x:v>0.0704042929299097</x:v>
      </x:c>
      <x:c r="F13" s="25" t="n">
        <x:v>0.003804870668606701</x:v>
      </x:c>
      <x:c r="G13" s="25" t="n">
        <x:v>0.011869237973628276</x:v>
      </x:c>
      <x:c r="H13" s="25" t="n">
        <x:v>0.00810738508358567</x:v>
      </x:c>
      <x:c r="I13" s="25" t="n">
        <x:v>1</x:v>
      </x:c>
      <x:c r="J13" s="25" t="n">
        <x:v>0.026264947382918794</x:v>
      </x:c>
      <x:c r="K13" s="25" t="n">
        <x:v>0.10203633460905545</x:v>
      </x:c>
    </x:row>
    <x:row r="14" ht="23" customHeight="1">
      <x:c r="A14" s="9" t="str">
        <x:v>9. Код_домофона</x:v>
      </x:c>
      <x:c r="B14" s="24" t="n">
        <x:v>-0.07499249933791004</x:v>
      </x:c>
      <x:c r="C14" s="24" t="n">
        <x:v>-0.06835472805175748</x:v>
      </x:c>
      <x:c r="D14" s="24" t="n">
        <x:v>-0.055051170673278915</x:v>
      </x:c>
      <x:c r="E14" s="24" t="n">
        <x:v>-0.031905651183651136</x:v>
      </x:c>
      <x:c r="F14" s="24" t="n">
        <x:v>0.022590102804193785</x:v>
      </x:c>
      <x:c r="G14" s="24" t="n">
        <x:v>0.04287768777481805</x:v>
      </x:c>
      <x:c r="H14" s="24" t="n">
        <x:v>0.04437336560357919</x:v>
      </x:c>
      <x:c r="I14" s="24" t="n">
        <x:v>0.026264947382918794</x:v>
      </x:c>
      <x:c r="J14" s="24" t="n">
        <x:v>1</x:v>
      </x:c>
      <x:c r="K14" s="24" t="n">
        <x:v>0.10879552954820405</x:v>
      </x:c>
    </x:row>
    <x:row r="15" ht="23" customHeight="1">
      <x:c r="A15" s="3" t="str">
        <x:v>10. Случайный_показатель_шум</x:v>
      </x:c>
      <x:c r="B15" s="25" t="n">
        <x:v>-0.007289030196894616</x:v>
      </x:c>
      <x:c r="C15" s="25" t="n">
        <x:v>0.0045661033539263615</x:v>
      </x:c>
      <x:c r="D15" s="25" t="n">
        <x:v>-0.028892958360330904</x:v>
      </x:c>
      <x:c r="E15" s="25" t="n">
        <x:v>0.026016554477746767</x:v>
      </x:c>
      <x:c r="F15" s="25" t="n">
        <x:v>0.003530483815618913</x:v>
      </x:c>
      <x:c r="G15" s="25" t="n">
        <x:v>-0.028640171300762973</x:v>
      </x:c>
      <x:c r="H15" s="25" t="n">
        <x:v>-0.030043474550761947</x:v>
      </x:c>
      <x:c r="I15" s="25" t="n">
        <x:v>0.10203633460905545</x:v>
      </x:c>
      <x:c r="J15" s="25" t="n">
        <x:v>0.10879552954820405</x:v>
      </x:c>
      <x:c r="K15" s="25" t="n">
        <x:v>1</x:v>
      </x:c>
    </x:row>
    <x:row r="18">
      <x:c r="A18" s="13" t="str">
        <x:v>После отбора</x:v>
      </x:c>
    </x:row>
    <x:row r="20" ht="75" customHeight="1">
      <x:c r="A20" s="7" t="str">
        <x:v>Признак</x:v>
      </x:c>
      <x:c r="B20" s="7" t="str">
        <x:v>Общая_площадь_м2</x:v>
      </x:c>
      <x:c r="C20" s="7" t="str">
        <x:v>Этаж</x:v>
      </x:c>
      <x:c r="D20" s="7" t="str">
        <x:v>Год_постройки</x:v>
      </x:c>
      <x:c r="E20" s="7" t="str">
        <x:v>Расстояние_до_метро_мин</x:v>
      </x:c>
      <x:c r="F20" s="7" t="str">
        <x:v>Номер_подъезда</x:v>
      </x:c>
    </x:row>
    <x:row r="21" ht="23" customHeight="1">
      <x:c r="A21" s="9" t="str">
        <x:v>Общая_площадь_м2</x:v>
      </x:c>
      <x:c r="B21" s="26" t="n">
        <x:v>1</x:v>
      </x:c>
      <x:c r="C21" s="26" t="n">
        <x:v>-0.08555299090772682</x:v>
      </x:c>
      <x:c r="D21" s="26" t="n">
        <x:v>-0.029610422980488497</x:v>
      </x:c>
      <x:c r="E21" s="26" t="n">
        <x:v>0.013340540284487485</x:v>
      </x:c>
      <x:c r="F21" s="26" t="n">
        <x:v>-0.0035528951233139935</x:v>
      </x:c>
    </x:row>
    <x:row r="22" ht="23" customHeight="1">
      <x:c r="A22" s="3" t="str">
        <x:v>Этаж</x:v>
      </x:c>
      <x:c r="B22" s="27" t="n">
        <x:v>-0.08555299090772682</x:v>
      </x:c>
      <x:c r="C22" s="27" t="n">
        <x:v>1</x:v>
      </x:c>
      <x:c r="D22" s="27" t="n">
        <x:v>-0.09499125002679339</x:v>
      </x:c>
      <x:c r="E22" s="27" t="n">
        <x:v>-0.021903064158379684</x:v>
      </x:c>
      <x:c r="F22" s="27" t="n">
        <x:v>0.0704042929299097</x:v>
      </x:c>
    </x:row>
    <x:row r="23" ht="23" customHeight="1">
      <x:c r="A23" s="9" t="str">
        <x:v>Год_постройки</x:v>
      </x:c>
      <x:c r="B23" s="26" t="n">
        <x:v>-0.029610422980488497</x:v>
      </x:c>
      <x:c r="C23" s="26" t="n">
        <x:v>-0.09499125002679339</x:v>
      </x:c>
      <x:c r="D23" s="26" t="n">
        <x:v>1</x:v>
      </x:c>
      <x:c r="E23" s="26" t="n">
        <x:v>-0.057444824713226</x:v>
      </x:c>
      <x:c r="F23" s="26" t="n">
        <x:v>0.003804870668606701</x:v>
      </x:c>
    </x:row>
    <x:row r="24" ht="23" customHeight="1">
      <x:c r="A24" s="3" t="str">
        <x:v>Расстояние_до_метро_мин</x:v>
      </x:c>
      <x:c r="B24" s="27" t="n">
        <x:v>0.013340540284487485</x:v>
      </x:c>
      <x:c r="C24" s="27" t="n">
        <x:v>-0.021903064158379684</x:v>
      </x:c>
      <x:c r="D24" s="27" t="n">
        <x:v>-0.057444824713226</x:v>
      </x:c>
      <x:c r="E24" s="27" t="n">
        <x:v>1</x:v>
      </x:c>
      <x:c r="F24" s="27" t="n">
        <x:v>0.011869237973628276</x:v>
      </x:c>
    </x:row>
    <x:row r="25" ht="23" customHeight="1">
      <x:c r="A25" s="9" t="str">
        <x:v>Номер_подъезда</x:v>
      </x:c>
      <x:c r="B25" s="26" t="n">
        <x:v>-0.0035528951233139935</x:v>
      </x:c>
      <x:c r="C25" s="26" t="n">
        <x:v>0.0704042929299097</x:v>
      </x:c>
      <x:c r="D25" s="26" t="n">
        <x:v>0.003804870668606701</x:v>
      </x:c>
      <x:c r="E25" s="26" t="n">
        <x:v>0.011869237973628276</x:v>
      </x:c>
      <x:c r="F25" s="26" t="n">
        <x:v>1</x:v>
      </x:c>
    </x:row>
  </x:sheetData>
  <x:conditionalFormatting sqref="B6:K15">
    <x:cfRule type="colorScale" priority="1">
      <x:colorScale>
        <x:cfvo type="num" val="-1"/>
        <x:cfvo type="num" val="0"/>
        <x:cfvo type="num" val="1"/>
        <x:color rgb="FFD77673"/>
        <x:color rgb="FFFFFFFF"/>
        <x:color rgb="FF458FDE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3" hidden="0" customWidth="1"/>
    <x:col min="4" max="4" width="22" hidden="0" customWidth="1"/>
    <x:col min="5" max="5" width="24" hidden="0" customWidth="1"/>
    <x:col min="6" max="6" width="25" hidden="0" customWidth="1"/>
    <x:col min="7" max="7" width="22" hidden="0" customWidth="1"/>
    <x:col min="8" max="8" width="28" hidden="0" customWidth="1"/>
    <x:col min="10" max="10" width="28" hidden="0" customWidth="1"/>
    <x:col min="11" max="11" width="28" hidden="0" customWidth="1"/>
  </x:cols>
  <x:sheetData>
    <x:row r="1" ht="10" customHeight="1"/>
    <x:row r="2">
      <x:c r="A2" s="1" t="str">
        <x:v>Прогнозы победителя на test</x:v>
      </x:c>
    </x:row>
    <x:row r="3">
      <x:c r="A3" s="2" t="str">
        <x:v>Стоимость и ошибки в тыс. руб. Метрики справа вычисляются из этих прогнозов.</x:v>
      </x:c>
    </x:row>
    <x:row r="5" ht="44" customHeight="1">
      <x:c r="A5" s="7" t="str">
        <x:v>ID</x:v>
      </x:c>
      <x:c r="B5" s="7" t="str">
        <x:v>Фактическая стоимость</x:v>
      </x:c>
      <x:c r="C5" s="7" t="str">
        <x:v>Прогноз</x:v>
      </x:c>
      <x:c r="D5" s="7" t="str">
        <x:v>Ошибка</x:v>
      </x:c>
      <x:c r="E5" s="7" t="str">
        <x:v>Среднее train</x:v>
      </x:c>
      <x:c r="F5" s="7" t="str">
        <x:v>Ошибка²</x:v>
      </x:c>
      <x:c r="G5" s="7" t="str">
        <x:v>|Ошибка|</x:v>
      </x:c>
      <x:c r="H5" s="7" t="str">
        <x:v>Ошибка среднего²</x:v>
      </x:c>
      <x:c r="J5" s="2" t="str">
        <x:v>Метрика</x:v>
      </x:c>
      <x:c r="K5" s="2" t="str">
        <x:v>Значение</x:v>
      </x:c>
    </x:row>
    <x:row r="6" ht="23" customHeight="1">
      <x:c r="A6" s="11" t="n">
        <x:v>10351</x:v>
      </x:c>
      <x:c r="B6" s="10" t="n">
        <x:v>15034.9</x:v>
      </x:c>
      <x:c r="C6" s="10" t="n">
        <x:v>15037.433200897127</x:v>
      </x:c>
      <x:c r="D6" s="10" t="n">
        <x:f>B6-C6</x:f>
        <x:v>-2.5332008971272444</x:v>
      </x:c>
      <x:c r="E6" s="10" t="n">
        <x:v>16235.797499999999</x:v>
      </x:c>
      <x:c r="F6" s="10" t="n">
        <x:f>D6^2</x:f>
        <x:v>6.4171067852062755</x:v>
      </x:c>
      <x:c r="G6" s="10" t="n">
        <x:f>ABS(D6)</x:f>
        <x:v>2.5332008971272444</x:v>
      </x:c>
      <x:c r="H6" s="10" t="n">
        <x:f>(B6-E6)^2</x:f>
        <x:v>1442154.8055062478</x:v>
      </x:c>
      <x:c r="J6" s="2" t="str">
        <x:v>R²</x:v>
      </x:c>
      <x:c r="K6" s="28" t="n">
        <x:f>1-SUM(F6:F165)/(SUMSQ(B6:B165)-SUM(B6:B165)^2/COUNT(B6:B165))</x:f>
        <x:v>0.9940989431438523</x:v>
      </x:c>
    </x:row>
    <x:row r="7" ht="23" customHeight="1">
      <x:c r="A7" s="12" t="n">
        <x:v>10560</x:v>
      </x:c>
      <x:c r="B7" s="8" t="n">
        <x:v>18278.6</x:v>
      </x:c>
      <x:c r="C7" s="8" t="n">
        <x:v>17849.356240209196</x:v>
      </x:c>
      <x:c r="D7" s="8" t="n">
        <x:f>B7-C7</x:f>
        <x:v>429.24375979080287</x:v>
      </x:c>
      <x:c r="E7" s="8" t="n">
        <x:v>16235.797499999999</x:v>
      </x:c>
      <x:c r="F7" s="8" t="n">
        <x:f>D7^2</x:f>
        <x:v>184250.20531934447</x:v>
      </x:c>
      <x:c r="G7" s="8" t="n">
        <x:f>ABS(D7)</x:f>
        <x:v>429.24375979080287</x:v>
      </x:c>
      <x:c r="H7" s="8" t="n">
        <x:f>(B7-E7)^2</x:f>
        <x:v>4173042.054006249</x:v>
      </x:c>
      <x:c r="J7" s="2" t="str">
        <x:v>RMSE, тыс. руб.</x:v>
      </x:c>
      <x:c r="K7" s="28" t="n">
        <x:f>SQRT(AVERAGE(F6:F165))</x:f>
        <x:v>469.2258456506479</x:v>
      </x:c>
    </x:row>
    <x:row r="8" ht="23" customHeight="1">
      <x:c r="A8" s="11" t="n">
        <x:v>10031</x:v>
      </x:c>
      <x:c r="B8" s="10" t="n">
        <x:v>17854.4</x:v>
      </x:c>
      <x:c r="C8" s="10" t="n">
        <x:v>18493.525533473417</x:v>
      </x:c>
      <x:c r="D8" s="10" t="n">
        <x:f>B8-C8</x:f>
        <x:v>-639.125533473416</x:v>
      </x:c>
      <x:c r="E8" s="10" t="n">
        <x:v>16235.797499999999</x:v>
      </x:c>
      <x:c r="F8" s="10" t="n">
        <x:f>D8^2</x:f>
        <x:v>408481.4475376786</x:v>
      </x:c>
      <x:c r="G8" s="10" t="n">
        <x:f>ABS(D8)</x:f>
        <x:v>639.125533473416</x:v>
      </x:c>
      <x:c r="H8" s="10" t="n">
        <x:f>(B8-E8)^2</x:f>
        <x:v>2619874.053006259</x:v>
      </x:c>
      <x:c r="J8" s="2" t="str">
        <x:v>MAE, тыс. руб.</x:v>
      </x:c>
      <x:c r="K8" s="28" t="n">
        <x:f>AVERAGE(G6:G165)</x:f>
        <x:v>375.6988449315399</x:v>
      </x:c>
    </x:row>
    <x:row r="9" ht="23" customHeight="1">
      <x:c r="A9" s="12" t="n">
        <x:v>10307</x:v>
      </x:c>
      <x:c r="B9" s="8" t="n">
        <x:v>15385.4</x:v>
      </x:c>
      <x:c r="C9" s="8" t="n">
        <x:v>15079.740483993637</x:v>
      </x:c>
      <x:c r="D9" s="8" t="n">
        <x:f>B9-C9</x:f>
        <x:v>305.65951600636254</x:v>
      </x:c>
      <x:c r="E9" s="8" t="n">
        <x:v>16235.797499999999</x:v>
      </x:c>
      <x:c r="F9" s="8" t="n">
        <x:f>D9^2</x:f>
        <x:v>93427.7397252438</x:v>
      </x:c>
      <x:c r="G9" s="8" t="n">
        <x:f>ABS(D9)</x:f>
        <x:v>305.65951600636254</x:v>
      </x:c>
      <x:c r="H9" s="8" t="n">
        <x:f>(B9-E9)^2</x:f>
        <x:v>723175.9080062485</x:v>
      </x:c>
      <x:c r="J9" s="2" t="str">
        <x:v>RMSE среднего train</x:v>
      </x:c>
      <x:c r="K9" s="28" t="n">
        <x:f>SQRT(AVERAGE(H6:H165))</x:f>
        <x:v>6152.473625973793</x:v>
      </x:c>
    </x:row>
    <x:row r="10" ht="23" customHeight="1">
      <x:c r="A10" s="11" t="n">
        <x:v>10457</x:v>
      </x:c>
      <x:c r="B10" s="10" t="n">
        <x:v>5446.6</x:v>
      </x:c>
      <x:c r="C10" s="10" t="n">
        <x:v>5591.584454760059</x:v>
      </x:c>
      <x:c r="D10" s="10" t="n">
        <x:f>B10-C10</x:f>
        <x:v>-144.98445476005872</x:v>
      </x:c>
      <x:c r="E10" s="10" t="n">
        <x:v>16235.797499999999</x:v>
      </x:c>
      <x:c r="F10" s="10" t="n">
        <x:f>D10^2</x:f>
        <x:v>21020.492122071515</x:v>
      </x:c>
      <x:c r="G10" s="10" t="n">
        <x:f>ABS(D10)</x:f>
        <x:v>144.98445476005872</x:v>
      </x:c>
      <x:c r="H10" s="10" t="n">
        <x:f>(B10-E10)^2</x:f>
        <x:v>116406782.69400622</x:v>
      </x:c>
    </x:row>
    <x:row r="11" ht="23" customHeight="1">
      <x:c r="A11" s="12" t="n">
        <x:v>10426</x:v>
      </x:c>
      <x:c r="B11" s="8" t="n">
        <x:v>17811.6</x:v>
      </x:c>
      <x:c r="C11" s="8" t="n">
        <x:v>17394.79833761982</x:v>
      </x:c>
      <x:c r="D11" s="8" t="n">
        <x:f>B11-C11</x:f>
        <x:v>416.80166238017773</x:v>
      </x:c>
      <x:c r="E11" s="8" t="n">
        <x:v>16235.797499999999</x:v>
      </x:c>
      <x:c r="F11" s="8" t="n">
        <x:f>D11^2</x:f>
        <x:v>173723.62576287967</x:v>
      </x:c>
      <x:c r="G11" s="8" t="n">
        <x:f>ABS(D11)</x:f>
        <x:v>416.80166238017773</x:v>
      </x:c>
      <x:c r="H11" s="8" t="n">
        <x:f>(B11-E11)^2</x:f>
        <x:v>2483153.5190062495</x:v>
      </x:c>
    </x:row>
    <x:row r="12" ht="23" customHeight="1">
      <x:c r="A12" s="11" t="n">
        <x:v>10577</x:v>
      </x:c>
      <x:c r="B12" s="10" t="n">
        <x:v>10995.2</x:v>
      </x:c>
      <x:c r="C12" s="10" t="n">
        <x:v>10959.035111757363</x:v>
      </x:c>
      <x:c r="D12" s="10" t="n">
        <x:f>B12-C12</x:f>
        <x:v>36.16488824263797</x:v>
      </x:c>
      <x:c r="E12" s="10" t="n">
        <x:v>16235.797499999999</x:v>
      </x:c>
      <x:c r="F12" s="10" t="n">
        <x:f>D12^2</x:f>
        <x:v>1307.8991416024942</x:v>
      </x:c>
      <x:c r="G12" s="10" t="n">
        <x:f>ABS(D12)</x:f>
        <x:v>36.16488824263797</x:v>
      </x:c>
      <x:c r="H12" s="10" t="n">
        <x:f>(B12-E12)^2</x:f>
        <x:v>27463862.15700623</x:v>
      </x:c>
    </x:row>
    <x:row r="13" ht="23" customHeight="1">
      <x:c r="A13" s="12" t="n">
        <x:v>10219</x:v>
      </x:c>
      <x:c r="B13" s="8" t="n">
        <x:v>17117.5</x:v>
      </x:c>
      <x:c r="C13" s="8" t="n">
        <x:v>17733.661225816657</x:v>
      </x:c>
      <x:c r="D13" s="8" t="n">
        <x:f>B13-C13</x:f>
        <x:v>-616.161225816657</x:v>
      </x:c>
      <x:c r="E13" s="8" t="n">
        <x:v>16235.797499999999</x:v>
      </x:c>
      <x:c r="F13" s="8" t="n">
        <x:f>D13^2</x:f>
        <x:v>379654.6561998853</x:v>
      </x:c>
      <x:c r="G13" s="8" t="n">
        <x:f>ABS(D13)</x:f>
        <x:v>616.161225816657</x:v>
      </x:c>
      <x:c r="H13" s="8" t="n">
        <x:f>(B13-E13)^2</x:f>
        <x:v>777399.2985062522</x:v>
      </x:c>
    </x:row>
    <x:row r="14" ht="23" customHeight="1">
      <x:c r="A14" s="11" t="n">
        <x:v>10042</x:v>
      </x:c>
      <x:c r="B14" s="10" t="n">
        <x:v>15854</x:v>
      </x:c>
      <x:c r="C14" s="10" t="n">
        <x:v>16565.34671013471</x:v>
      </x:c>
      <x:c r="D14" s="10" t="n">
        <x:f>B14-C14</x:f>
        <x:v>-711.3467101347087</x:v>
      </x:c>
      <x:c r="E14" s="10" t="n">
        <x:v>16235.797499999999</x:v>
      </x:c>
      <x:c r="F14" s="10" t="n">
        <x:f>D14^2</x:f>
        <x:v>506014.1420194733</x:v>
      </x:c>
      <x:c r="G14" s="10" t="n">
        <x:f>ABS(D14)</x:f>
        <x:v>711.3467101347087</x:v>
      </x:c>
      <x:c r="H14" s="10" t="n">
        <x:f>(B14-E14)^2</x:f>
        <x:v>145769.33100624906</x:v>
      </x:c>
    </x:row>
    <x:row r="15" ht="23" customHeight="1">
      <x:c r="A15" s="12" t="n">
        <x:v>10141</x:v>
      </x:c>
      <x:c r="B15" s="8" t="n">
        <x:v>25492.7</x:v>
      </x:c>
      <x:c r="C15" s="8" t="n">
        <x:v>24356.58289577101</x:v>
      </x:c>
      <x:c r="D15" s="8" t="n">
        <x:f>B15-C15</x:f>
        <x:v>1136.1171042289898</x:v>
      </x:c>
      <x:c r="E15" s="8" t="n">
        <x:v>16235.797499999999</x:v>
      </x:c>
      <x:c r="F15" s="8" t="n">
        <x:f>D15^2</x:f>
        <x:v>1290762.0745216652</x:v>
      </x:c>
      <x:c r="G15" s="8" t="n">
        <x:f>ABS(D15)</x:f>
        <x:v>1136.1171042289898</x:v>
      </x:c>
      <x:c r="H15" s="8" t="n">
        <x:f>(B15-E15)^2</x:f>
        <x:v>85690243.89450629</x:v>
      </x:c>
    </x:row>
    <x:row r="16" ht="23" customHeight="1">
      <x:c r="A16" s="11" t="n">
        <x:v>10642</x:v>
      </x:c>
      <x:c r="B16" s="10" t="n">
        <x:v>12089.3</x:v>
      </x:c>
      <x:c r="C16" s="10" t="n">
        <x:v>12885.045798329675</x:v>
      </x:c>
      <x:c r="D16" s="10" t="n">
        <x:f>B16-C16</x:f>
        <x:v>-795.7457983296754</x:v>
      </x:c>
      <x:c r="E16" s="10" t="n">
        <x:v>16235.797499999999</x:v>
      </x:c>
      <x:c r="F16" s="10" t="n">
        <x:f>D16^2</x:f>
        <x:v>633211.3755593324</x:v>
      </x:c>
      <x:c r="G16" s="10" t="n">
        <x:f>ABS(D16)</x:f>
        <x:v>795.7457983296754</x:v>
      </x:c>
      <x:c r="H16" s="10" t="n">
        <x:f>(B16-E16)^2</x:f>
        <x:v>17193441.517506246</x:v>
      </x:c>
    </x:row>
    <x:row r="17" ht="23" customHeight="1">
      <x:c r="A17" s="12" t="n">
        <x:v>10366</x:v>
      </x:c>
      <x:c r="B17" s="8" t="n">
        <x:v>15660.9</x:v>
      </x:c>
      <x:c r="C17" s="8" t="n">
        <x:v>15396.025738755789</x:v>
      </x:c>
      <x:c r="D17" s="8" t="n">
        <x:f>B17-C17</x:f>
        <x:v>264.8742612442111</x:v>
      </x:c>
      <x:c r="E17" s="8" t="n">
        <x:v>16235.797499999999</x:v>
      </x:c>
      <x:c r="F17" s="8" t="n">
        <x:f>D17^2</x:f>
        <x:v>70158.37426966659</x:v>
      </x:c>
      <x:c r="G17" s="8" t="n">
        <x:f>ABS(D17)</x:f>
        <x:v>264.8742612442111</x:v>
      </x:c>
      <x:c r="H17" s="8" t="n">
        <x:f>(B17-E17)^2</x:f>
        <x:v>330507.135506249</x:v>
      </x:c>
    </x:row>
    <x:row r="18" ht="23" customHeight="1">
      <x:c r="A18" s="11" t="n">
        <x:v>10073</x:v>
      </x:c>
      <x:c r="B18" s="10" t="n">
        <x:v>7637.6</x:v>
      </x:c>
      <x:c r="C18" s="10" t="n">
        <x:v>7680.593121823618</x:v>
      </x:c>
      <x:c r="D18" s="10" t="n">
        <x:f>B18-C18</x:f>
        <x:v>-42.99312182361791</x:v>
      </x:c>
      <x:c r="E18" s="10" t="n">
        <x:v>16235.797499999999</x:v>
      </x:c>
      <x:c r="F18" s="10" t="n">
        <x:f>D18^2</x:f>
        <x:v>1848.4085241404507</x:v>
      </x:c>
      <x:c r="G18" s="10" t="n">
        <x:f>ABS(D18)</x:f>
        <x:v>42.99312182361791</x:v>
      </x:c>
      <x:c r="H18" s="10" t="n">
        <x:f>(B18-E18)^2</x:f>
        <x:v>73929000.24900623</x:v>
      </x:c>
    </x:row>
    <x:row r="19" ht="23" customHeight="1">
      <x:c r="A19" s="12" t="n">
        <x:v>10405</x:v>
      </x:c>
      <x:c r="B19" s="8" t="n">
        <x:v>14277.1</x:v>
      </x:c>
      <x:c r="C19" s="8" t="n">
        <x:v>13764.897335800648</x:v>
      </x:c>
      <x:c r="D19" s="8" t="n">
        <x:f>B19-C19</x:f>
        <x:v>512.2026641993525</x:v>
      </x:c>
      <x:c r="E19" s="8" t="n">
        <x:v>16235.797499999999</x:v>
      </x:c>
      <x:c r="F19" s="8" t="n">
        <x:f>D19^2</x:f>
        <x:v>262351.5692129147</x:v>
      </x:c>
      <x:c r="G19" s="8" t="n">
        <x:f>ABS(D19)</x:f>
        <x:v>512.2026641993525</x:v>
      </x:c>
      <x:c r="H19" s="8" t="n">
        <x:f>(B19-E19)^2</x:f>
        <x:v>3836495.896506244</x:v>
      </x:c>
    </x:row>
    <x:row r="20" ht="23" customHeight="1">
      <x:c r="A20" s="11" t="n">
        <x:v>10134</x:v>
      </x:c>
      <x:c r="B20" s="10" t="n">
        <x:v>13648.2</x:v>
      </x:c>
      <x:c r="C20" s="10" t="n">
        <x:v>13178.786924811237</x:v>
      </x:c>
      <x:c r="D20" s="10" t="n">
        <x:f>B20-C20</x:f>
        <x:v>469.4130751887642</x:v>
      </x:c>
      <x:c r="E20" s="10" t="n">
        <x:v>16235.797499999999</x:v>
      </x:c>
      <x:c r="F20" s="10" t="n">
        <x:f>D20^2</x:f>
        <x:v>220348.6351581724</x:v>
      </x:c>
      <x:c r="G20" s="10" t="n">
        <x:f>ABS(D20)</x:f>
        <x:v>469.4130751887642</x:v>
      </x:c>
      <x:c r="H20" s="10" t="n">
        <x:f>(B20-E20)^2</x:f>
        <x:v>6695660.82200624</x:v>
      </x:c>
    </x:row>
    <x:row r="21" ht="23" customHeight="1">
      <x:c r="A21" s="12" t="n">
        <x:v>10236</x:v>
      </x:c>
      <x:c r="B21" s="8" t="n">
        <x:v>18252.3</x:v>
      </x:c>
      <x:c r="C21" s="8" t="n">
        <x:v>18426.270863848036</x:v>
      </x:c>
      <x:c r="D21" s="8" t="n">
        <x:f>B21-C21</x:f>
        <x:v>-173.97086384803697</x:v>
      </x:c>
      <x:c r="E21" s="8" t="n">
        <x:v>16235.797499999999</x:v>
      </x:c>
      <x:c r="F21" s="8" t="n">
        <x:f>D21^2</x:f>
        <x:v>30265.861468032217</x:v>
      </x:c>
      <x:c r="G21" s="8" t="n">
        <x:f>ABS(D21)</x:f>
        <x:v>173.97086384803697</x:v>
      </x:c>
      <x:c r="H21" s="8" t="n">
        <x:f>(B21-E21)^2</x:f>
        <x:v>4066282.332506252</x:v>
      </x:c>
    </x:row>
    <x:row r="22" ht="23" customHeight="1">
      <x:c r="A22" s="11" t="n">
        <x:v>10070</x:v>
      </x:c>
      <x:c r="B22" s="10" t="n">
        <x:v>26204.2</x:v>
      </x:c>
      <x:c r="C22" s="10" t="n">
        <x:v>26166.03900260677</x:v>
      </x:c>
      <x:c r="D22" s="10" t="n">
        <x:f>B22-C22</x:f>
        <x:v>38.16099739323181</x:v>
      </x:c>
      <x:c r="E22" s="10" t="n">
        <x:v>16235.797499999999</x:v>
      </x:c>
      <x:c r="F22" s="10" t="n">
        <x:f>D22^2</x:f>
        <x:v>1456.261722046245</x:v>
      </x:c>
      <x:c r="G22" s="10" t="n">
        <x:f>ABS(D22)</x:f>
        <x:v>38.16099739323181</x:v>
      </x:c>
      <x:c r="H22" s="10" t="n">
        <x:f>(B22-E22)^2</x:f>
        <x:v>99369048.40200628</x:v>
      </x:c>
    </x:row>
    <x:row r="23" ht="23" customHeight="1">
      <x:c r="A23" s="12" t="n">
        <x:v>10487</x:v>
      </x:c>
      <x:c r="B23" s="8" t="n">
        <x:v>5986.9</x:v>
      </x:c>
      <x:c r="C23" s="8" t="n">
        <x:v>6034.018164689085</x:v>
      </x:c>
      <x:c r="D23" s="8" t="n">
        <x:f>B23-C23</x:f>
        <x:v>-47.11816468908546</x:v>
      </x:c>
      <x:c r="E23" s="8" t="n">
        <x:v>16235.797499999999</x:v>
      </x:c>
      <x:c r="F23" s="8" t="n">
        <x:f>D23^2</x:f>
        <x:v>2220.12144366778</x:v>
      </x:c>
      <x:c r="G23" s="8" t="n">
        <x:f>ABS(D23)</x:f>
        <x:v>47.11816468908546</x:v>
      </x:c>
      <x:c r="H23" s="8" t="n">
        <x:f>(B23-E23)^2</x:f>
        <x:v>105039899.96550623</x:v>
      </x:c>
    </x:row>
    <x:row r="24" ht="23" customHeight="1">
      <x:c r="A24" s="11" t="n">
        <x:v>10369</x:v>
      </x:c>
      <x:c r="B24" s="10" t="n">
        <x:v>7960.6</x:v>
      </x:c>
      <x:c r="C24" s="10" t="n">
        <x:v>7868.857915427076</x:v>
      </x:c>
      <x:c r="D24" s="10" t="n">
        <x:f>B24-C24</x:f>
        <x:v>91.7420845729248</x:v>
      </x:c>
      <x:c r="E24" s="10" t="n">
        <x:v>16235.797499999999</x:v>
      </x:c>
      <x:c r="F24" s="10" t="n">
        <x:f>D24^2</x:f>
        <x:v>8416.610081785686</x:v>
      </x:c>
      <x:c r="G24" s="10" t="n">
        <x:f>ABS(D24)</x:f>
        <x:v>91.7420845729248</x:v>
      </x:c>
      <x:c r="H24" s="10" t="n">
        <x:f>(B24-E24)^2</x:f>
        <x:v>68478893.66400622</x:v>
      </x:c>
    </x:row>
    <x:row r="25" ht="23" customHeight="1">
      <x:c r="A25" s="12" t="n">
        <x:v>10077</x:v>
      </x:c>
      <x:c r="B25" s="8" t="n">
        <x:v>22852.6</x:v>
      </x:c>
      <x:c r="C25" s="8" t="n">
        <x:v>22343.06272259528</x:v>
      </x:c>
      <x:c r="D25" s="8" t="n">
        <x:f>B25-C25</x:f>
        <x:v>509.5372774047173</x:v>
      </x:c>
      <x:c r="E25" s="8" t="n">
        <x:v>16235.797499999999</x:v>
      </x:c>
      <x:c r="F25" s="8" t="n">
        <x:f>D25^2</x:f>
        <x:v>259628.23706501184</x:v>
      </x:c>
      <x:c r="G25" s="8" t="n">
        <x:f>ABS(D25)</x:f>
        <x:v>509.5372774047173</x:v>
      </x:c>
      <x:c r="H25" s="8" t="n">
        <x:f>(B25-E25)^2</x:f>
        <x:v>43782075.324006245</x:v>
      </x:c>
    </x:row>
    <x:row r="26" ht="23" customHeight="1">
      <x:c r="A26" s="11" t="n">
        <x:v>10518</x:v>
      </x:c>
      <x:c r="B26" s="10" t="n">
        <x:v>23169.5</x:v>
      </x:c>
      <x:c r="C26" s="10" t="n">
        <x:v>22771.55470152014</x:v>
      </x:c>
      <x:c r="D26" s="10" t="n">
        <x:f>B26-C26</x:f>
        <x:v>397.94529847985905</x:v>
      </x:c>
      <x:c r="E26" s="10" t="n">
        <x:v>16235.797499999999</x:v>
      </x:c>
      <x:c r="F26" s="10" t="n">
        <x:f>D26^2</x:f>
        <x:v>158360.4605822241</x:v>
      </x:c>
      <x:c r="G26" s="10" t="n">
        <x:f>ABS(D26)</x:f>
        <x:v>397.94529847985905</x:v>
      </x:c>
      <x:c r="H26" s="10" t="n">
        <x:f>(B26-E26)^2</x:f>
        <x:v>48076230.35850627</x:v>
      </x:c>
    </x:row>
    <x:row r="27" ht="23" customHeight="1">
      <x:c r="A27" s="12" t="n">
        <x:v>10136</x:v>
      </x:c>
      <x:c r="B27" s="8" t="n">
        <x:v>13214</x:v>
      </x:c>
      <x:c r="C27" s="8" t="n">
        <x:v>12945.041223408578</x:v>
      </x:c>
      <x:c r="D27" s="8" t="n">
        <x:f>B27-C27</x:f>
        <x:v>268.95877659142207</x:v>
      </x:c>
      <x:c r="E27" s="8" t="n">
        <x:v>16235.797499999999</x:v>
      </x:c>
      <x:c r="F27" s="8" t="n">
        <x:f>D27^2</x:f>
        <x:v>72338.82350555448</x:v>
      </x:c>
      <x:c r="G27" s="8" t="n">
        <x:f>ABS(D27)</x:f>
        <x:v>268.95877659142207</x:v>
      </x:c>
      <x:c r="H27" s="8" t="n">
        <x:f>(B27-E27)^2</x:f>
        <x:v>9131260.131006243</x:v>
      </x:c>
    </x:row>
    <x:row r="28" ht="23" customHeight="1">
      <x:c r="A28" s="11" t="n">
        <x:v>10791</x:v>
      </x:c>
      <x:c r="B28" s="10" t="n">
        <x:v>8912.8</x:v>
      </x:c>
      <x:c r="C28" s="10" t="n">
        <x:v>9403.74950587676</x:v>
      </x:c>
      <x:c r="D28" s="10" t="n">
        <x:f>B28-C28</x:f>
        <x:v>-490.94950587676067</x:v>
      </x:c>
      <x:c r="E28" s="10" t="n">
        <x:v>16235.797499999999</x:v>
      </x:c>
      <x:c r="F28" s="10" t="n">
        <x:f>D28^2</x:f>
        <x:v>241031.41732063546</x:v>
      </x:c>
      <x:c r="G28" s="10" t="n">
        <x:f>ABS(D28)</x:f>
        <x:v>490.94950587676067</x:v>
      </x:c>
      <x:c r="H28" s="10" t="n">
        <x:f>(B28-E28)^2</x:f>
        <x:v>53626292.38500624</x:v>
      </x:c>
    </x:row>
    <x:row r="29" ht="23" customHeight="1">
      <x:c r="A29" s="12" t="n">
        <x:v>10410</x:v>
      </x:c>
      <x:c r="B29" s="8" t="n">
        <x:v>7374</x:v>
      </x:c>
      <x:c r="C29" s="8" t="n">
        <x:v>7091.403365242946</x:v>
      </x:c>
      <x:c r="D29" s="8" t="n">
        <x:f>B29-C29</x:f>
        <x:v>282.59663475705383</x:v>
      </x:c>
      <x:c r="E29" s="8" t="n">
        <x:v>16235.797499999999</x:v>
      </x:c>
      <x:c r="F29" s="8" t="n">
        <x:f>D29^2</x:f>
        <x:v>79860.85797601168</x:v>
      </x:c>
      <x:c r="G29" s="8" t="n">
        <x:f>ABS(D29)</x:f>
        <x:v>282.59663475705383</x:v>
      </x:c>
      <x:c r="H29" s="8" t="n">
        <x:f>(B29-E29)^2</x:f>
        <x:v>78531454.93100622</x:v>
      </x:c>
    </x:row>
    <x:row r="30" ht="23" customHeight="1">
      <x:c r="A30" s="11" t="n">
        <x:v>10175</x:v>
      </x:c>
      <x:c r="B30" s="10" t="n">
        <x:v>18711.2</x:v>
      </x:c>
      <x:c r="C30" s="10" t="n">
        <x:v>18939.580344770453</x:v>
      </x:c>
      <x:c r="D30" s="10" t="n">
        <x:f>B30-C30</x:f>
        <x:v>-228.3803447704522</x:v>
      </x:c>
      <x:c r="E30" s="10" t="n">
        <x:v>16235.797499999999</x:v>
      </x:c>
      <x:c r="F30" s="10" t="n">
        <x:f>D30^2</x:f>
        <x:v>52157.58187747062</x:v>
      </x:c>
      <x:c r="G30" s="10" t="n">
        <x:f>ABS(D30)</x:f>
        <x:v>228.3803447704522</x:v>
      </x:c>
      <x:c r="H30" s="10" t="n">
        <x:f>(B30-E30)^2</x:f>
        <x:v>6127617.53700626</x:v>
      </x:c>
    </x:row>
    <x:row r="31" ht="23" customHeight="1">
      <x:c r="A31" s="12" t="n">
        <x:v>10166</x:v>
      </x:c>
      <x:c r="B31" s="8" t="n">
        <x:v>23749.5</x:v>
      </x:c>
      <x:c r="C31" s="8" t="n">
        <x:v>24551.784357244862</x:v>
      </x:c>
      <x:c r="D31" s="8" t="n">
        <x:f>B31-C31</x:f>
        <x:v>-802.2843572448619</x:v>
      </x:c>
      <x:c r="E31" s="8" t="n">
        <x:v>16235.797499999999</x:v>
      </x:c>
      <x:c r="F31" s="8" t="n">
        <x:f>D31^2</x:f>
        <x:v>643660.1898798012</x:v>
      </x:c>
      <x:c r="G31" s="8" t="n">
        <x:f>ABS(D31)</x:f>
        <x:v>802.2843572448619</x:v>
      </x:c>
      <x:c r="H31" s="8" t="n">
        <x:f>(B31-E31)^2</x:f>
        <x:v>56455725.25850627</x:v>
      </x:c>
    </x:row>
    <x:row r="32" ht="23" customHeight="1">
      <x:c r="A32" s="11" t="n">
        <x:v>10301</x:v>
      </x:c>
      <x:c r="B32" s="10" t="n">
        <x:v>6741.3</x:v>
      </x:c>
      <x:c r="C32" s="10" t="n">
        <x:v>7307.048265492624</x:v>
      </x:c>
      <x:c r="D32" s="10" t="n">
        <x:f>B32-C32</x:f>
        <x:v>-565.7482654926234</x:v>
      </x:c>
      <x:c r="E32" s="10" t="n">
        <x:v>16235.797499999999</x:v>
      </x:c>
      <x:c r="F32" s="10" t="n">
        <x:f>D32^2</x:f>
        <x:v>320071.0999079119</x:v>
      </x:c>
      <x:c r="G32" s="10" t="n">
        <x:f>ABS(D32)</x:f>
        <x:v>565.7482654926234</x:v>
      </x:c>
      <x:c r="H32" s="10" t="n">
        <x:f>(B32-E32)^2</x:f>
        <x:v>90145482.7775062</x:v>
      </x:c>
    </x:row>
    <x:row r="33" ht="23" customHeight="1">
      <x:c r="A33" s="12" t="n">
        <x:v>10384</x:v>
      </x:c>
      <x:c r="B33" s="8" t="n">
        <x:v>24187</x:v>
      </x:c>
      <x:c r="C33" s="8" t="n">
        <x:v>24363.49256124551</x:v>
      </x:c>
      <x:c r="D33" s="8" t="n">
        <x:f>B33-C33</x:f>
        <x:v>-176.49256124551175</x:v>
      </x:c>
      <x:c r="E33" s="8" t="n">
        <x:v>16235.797499999999</x:v>
      </x:c>
      <x:c r="F33" s="8" t="n">
        <x:f>D33^2</x:f>
        <x:v>31149.624175000718</x:v>
      </x:c>
      <x:c r="G33" s="8" t="n">
        <x:f>ABS(D33)</x:f>
        <x:v>176.49256124551175</x:v>
      </x:c>
      <x:c r="H33" s="8" t="n">
        <x:f>(B33-E33)^2</x:f>
        <x:v>63221621.19600627</x:v>
      </x:c>
    </x:row>
    <x:row r="34" ht="23" customHeight="1">
      <x:c r="A34" s="11" t="n">
        <x:v>10034</x:v>
      </x:c>
      <x:c r="B34" s="10" t="n">
        <x:v>23085.9</x:v>
      </x:c>
      <x:c r="C34" s="10" t="n">
        <x:v>22756.503808110127</x:v>
      </x:c>
      <x:c r="D34" s="10" t="n">
        <x:f>B34-C34</x:f>
        <x:v>329.3961918898749</x:v>
      </x:c>
      <x:c r="E34" s="10" t="n">
        <x:v>16235.797499999999</x:v>
      </x:c>
      <x:c r="F34" s="10" t="n">
        <x:f>D34^2</x:f>
        <x:v>108501.85123155129</x:v>
      </x:c>
      <x:c r="G34" s="10" t="n">
        <x:f>ABS(D34)</x:f>
        <x:v>329.3961918898749</x:v>
      </x:c>
      <x:c r="H34" s="10" t="n">
        <x:f>(B34-E34)^2</x:f>
        <x:v>46923904.26050629</x:v>
      </x:c>
    </x:row>
    <x:row r="35" ht="23" customHeight="1">
      <x:c r="A35" s="12" t="n">
        <x:v>10714</x:v>
      </x:c>
      <x:c r="B35" s="8" t="n">
        <x:v>16527.2</x:v>
      </x:c>
      <x:c r="C35" s="8" t="n">
        <x:v>16217.94681289058</x:v>
      </x:c>
      <x:c r="D35" s="8" t="n">
        <x:f>B35-C35</x:f>
        <x:v>309.25318710942156</x:v>
      </x:c>
      <x:c r="E35" s="8" t="n">
        <x:v>16235.797499999999</x:v>
      </x:c>
      <x:c r="F35" s="8" t="n">
        <x:f>D35^2</x:f>
        <x:v>95637.5337373349</x:v>
      </x:c>
      <x:c r="G35" s="8" t="n">
        <x:f>ABS(D35)</x:f>
        <x:v>309.25318710942156</x:v>
      </x:c>
      <x:c r="H35" s="8" t="n">
        <x:f>(B35-E35)^2</x:f>
        <x:v>84915.41700625114</x:v>
      </x:c>
    </x:row>
    <x:row r="36" ht="23" customHeight="1">
      <x:c r="A36" s="11" t="n">
        <x:v>10200</x:v>
      </x:c>
      <x:c r="B36" s="10" t="n">
        <x:v>22023.1</x:v>
      </x:c>
      <x:c r="C36" s="10" t="n">
        <x:v>22503.759615655545</x:v>
      </x:c>
      <x:c r="D36" s="10" t="n">
        <x:f>B36-C36</x:f>
        <x:v>-480.6596156555461</x:v>
      </x:c>
      <x:c r="E36" s="10" t="n">
        <x:v>16235.797499999999</x:v>
      </x:c>
      <x:c r="F36" s="10" t="n">
        <x:f>D36^2</x:f>
        <x:v>231033.66612213728</x:v>
      </x:c>
      <x:c r="G36" s="10" t="n">
        <x:f>ABS(D36)</x:f>
        <x:v>480.6596156555461</x:v>
      </x:c>
      <x:c r="H36" s="10" t="n">
        <x:f>(B36-E36)^2</x:f>
        <x:v>33492870.226506248</x:v>
      </x:c>
    </x:row>
    <x:row r="37" ht="23" customHeight="1">
      <x:c r="A37" s="12" t="n">
        <x:v>10622</x:v>
      </x:c>
      <x:c r="B37" s="8" t="n">
        <x:v>9699</x:v>
      </x:c>
      <x:c r="C37" s="8" t="n">
        <x:v>8778.875566082004</x:v>
      </x:c>
      <x:c r="D37" s="8" t="n">
        <x:f>B37-C37</x:f>
        <x:v>920.1244339179957</x:v>
      </x:c>
      <x:c r="E37" s="8" t="n">
        <x:v>16235.797499999999</x:v>
      </x:c>
      <x:c r="F37" s="8" t="n">
        <x:f>D37^2</x:f>
        <x:v>846628.973892912</x:v>
      </x:c>
      <x:c r="G37" s="8" t="n">
        <x:f>ABS(D37)</x:f>
        <x:v>920.1244339179957</x:v>
      </x:c>
      <x:c r="H37" s="8" t="n">
        <x:f>(B37-E37)^2</x:f>
        <x:v>42729721.55600623</x:v>
      </x:c>
    </x:row>
    <x:row r="38" ht="23" customHeight="1">
      <x:c r="A38" s="11" t="n">
        <x:v>10383</x:v>
      </x:c>
      <x:c r="B38" s="10" t="n">
        <x:v>15979.8</x:v>
      </x:c>
      <x:c r="C38" s="10" t="n">
        <x:v>16896.71533063416</x:v>
      </x:c>
      <x:c r="D38" s="10" t="n">
        <x:f>B38-C38</x:f>
        <x:v>-916.9153306341614</x:v>
      </x:c>
      <x:c r="E38" s="10" t="n">
        <x:v>16235.797499999999</x:v>
      </x:c>
      <x:c r="F38" s="10" t="n">
        <x:f>D38^2</x:f>
        <x:v>840733.7235519534</x:v>
      </x:c>
      <x:c r="G38" s="10" t="n">
        <x:f>ABS(D38)</x:f>
        <x:v>916.9153306341614</x:v>
      </x:c>
      <x:c r="H38" s="10" t="n">
        <x:f>(B38-E38)^2</x:f>
        <x:v>65534.720006249736</x:v>
      </x:c>
    </x:row>
    <x:row r="39" ht="23" customHeight="1">
      <x:c r="A39" s="12" t="n">
        <x:v>10745</x:v>
      </x:c>
      <x:c r="B39" s="8" t="n">
        <x:v>11757.9</x:v>
      </x:c>
      <x:c r="C39" s="8" t="n">
        <x:v>12020.874585263908</x:v>
      </x:c>
      <x:c r="D39" s="8" t="n">
        <x:f>B39-C39</x:f>
        <x:v>-262.974585263908</x:v>
      </x:c>
      <x:c r="E39" s="8" t="n">
        <x:v>16235.797499999999</x:v>
      </x:c>
      <x:c r="F39" s="8" t="n">
        <x:f>D39^2</x:f>
        <x:v>69155.63249472443</x:v>
      </x:c>
      <x:c r="G39" s="8" t="n">
        <x:f>ABS(D39)</x:f>
        <x:v>262.974585263908</x:v>
      </x:c>
      <x:c r="H39" s="8" t="n">
        <x:f>(B39-E39)^2</x:f>
        <x:v>20051566.02050624</x:v>
      </x:c>
    </x:row>
    <x:row r="40" ht="23" customHeight="1">
      <x:c r="A40" s="11" t="n">
        <x:v>10090</x:v>
      </x:c>
      <x:c r="B40" s="10" t="n">
        <x:v>17574.7</x:v>
      </x:c>
      <x:c r="C40" s="10" t="n">
        <x:v>17460.15888284517</x:v>
      </x:c>
      <x:c r="D40" s="10" t="n">
        <x:f>B40-C40</x:f>
        <x:v>114.54111715482941</x:v>
      </x:c>
      <x:c r="E40" s="10" t="n">
        <x:v>16235.797499999999</x:v>
      </x:c>
      <x:c r="F40" s="10" t="n">
        <x:f>D40^2</x:f>
        <x:v>13119.667519076356</x:v>
      </x:c>
      <x:c r="G40" s="10" t="n">
        <x:f>ABS(D40)</x:f>
        <x:v>114.54111715482941</x:v>
      </x:c>
      <x:c r="H40" s="10" t="n">
        <x:f>(B40-E40)^2</x:f>
        <x:v>1792659.9045062552</x:v>
      </x:c>
    </x:row>
    <x:row r="41" ht="23" customHeight="1">
      <x:c r="A41" s="12" t="n">
        <x:v>10595</x:v>
      </x:c>
      <x:c r="B41" s="8" t="n">
        <x:v>22739.9</x:v>
      </x:c>
      <x:c r="C41" s="8" t="n">
        <x:v>22494.828865453095</x:v>
      </x:c>
      <x:c r="D41" s="8" t="n">
        <x:f>B41-C41</x:f>
        <x:v>245.07113454690625</x:v>
      </x:c>
      <x:c r="E41" s="8" t="n">
        <x:v>16235.797499999999</x:v>
      </x:c>
      <x:c r="F41" s="8" t="n">
        <x:f>D41^2</x:f>
        <x:v>60059.86098810783</x:v>
      </x:c>
      <x:c r="G41" s="8" t="n">
        <x:f>ABS(D41)</x:f>
        <x:v>245.07113454690625</x:v>
      </x:c>
      <x:c r="H41" s="8" t="n">
        <x:f>(B41-E41)^2</x:f>
        <x:v>42303349.33050629</x:v>
      </x:c>
    </x:row>
    <x:row r="42" ht="23" customHeight="1">
      <x:c r="A42" s="11" t="n">
        <x:v>10056</x:v>
      </x:c>
      <x:c r="B42" s="10" t="n">
        <x:v>25224</x:v>
      </x:c>
      <x:c r="C42" s="10" t="n">
        <x:v>24387.611037320545</x:v>
      </x:c>
      <x:c r="D42" s="10" t="n">
        <x:f>B42-C42</x:f>
        <x:v>836.3889626794553</x:v>
      </x:c>
      <x:c r="E42" s="10" t="n">
        <x:v>16235.797499999999</x:v>
      </x:c>
      <x:c r="F42" s="10" t="n">
        <x:f>D42^2</x:f>
        <x:v>699546.4968920152</x:v>
      </x:c>
      <x:c r="G42" s="10" t="n">
        <x:f>ABS(D42)</x:f>
        <x:v>836.3889626794553</x:v>
      </x:c>
      <x:c r="H42" s="10" t="n">
        <x:f>(B42-E42)^2</x:f>
        <x:v>80787784.18100627</x:v>
      </x:c>
    </x:row>
    <x:row r="43" ht="23" customHeight="1">
      <x:c r="A43" s="12" t="n">
        <x:v>10494</x:v>
      </x:c>
      <x:c r="B43" s="8" t="n">
        <x:v>10633.8</x:v>
      </x:c>
      <x:c r="C43" s="8" t="n">
        <x:v>9953.456158293397</x:v>
      </x:c>
      <x:c r="D43" s="8" t="n">
        <x:f>B43-C43</x:f>
        <x:v>680.3438417066027</x:v>
      </x:c>
      <x:c r="E43" s="8" t="n">
        <x:v>16235.797499999999</x:v>
      </x:c>
      <x:c r="F43" s="8" t="n">
        <x:f>D43^2</x:f>
        <x:v>462867.74294809886</x:v>
      </x:c>
      <x:c r="G43" s="8" t="n">
        <x:f>ABS(D43)</x:f>
        <x:v>680.3438417066027</x:v>
      </x:c>
      <x:c r="H43" s="8" t="n">
        <x:f>(B43-E43)^2</x:f>
        <x:v>31382375.990006246</x:v>
      </x:c>
    </x:row>
    <x:row r="44" ht="23" customHeight="1">
      <x:c r="A44" s="11" t="n">
        <x:v>10665</x:v>
      </x:c>
      <x:c r="B44" s="10" t="n">
        <x:v>7287.1</x:v>
      </x:c>
      <x:c r="C44" s="10" t="n">
        <x:v>6890.893724951597</x:v>
      </x:c>
      <x:c r="D44" s="10" t="n">
        <x:f>B44-C44</x:f>
        <x:v>396.20627504840377</x:v>
      </x:c>
      <x:c r="E44" s="10" t="n">
        <x:v>16235.797499999999</x:v>
      </x:c>
      <x:c r="F44" s="10" t="n">
        <x:f>D44^2</x:f>
        <x:v>156979.41238773137</x:v>
      </x:c>
      <x:c r="G44" s="10" t="n">
        <x:f>ABS(D44)</x:f>
        <x:v>396.20627504840377</x:v>
      </x:c>
      <x:c r="H44" s="10" t="n">
        <x:f>(B44-E44)^2</x:f>
        <x:v>80079186.94650622</x:v>
      </x:c>
    </x:row>
    <x:row r="45" ht="23" customHeight="1">
      <x:c r="A45" s="12" t="n">
        <x:v>10513</x:v>
      </x:c>
      <x:c r="B45" s="8" t="n">
        <x:v>24926.4</x:v>
      </x:c>
      <x:c r="C45" s="8" t="n">
        <x:v>24643.403310702233</x:v>
      </x:c>
      <x:c r="D45" s="8" t="n">
        <x:f>B45-C45</x:f>
        <x:v>282.99668929776817</x:v>
      </x:c>
      <x:c r="E45" s="8" t="n">
        <x:v>16235.797499999999</x:v>
      </x:c>
      <x:c r="F45" s="8" t="n">
        <x:f>D45^2</x:f>
        <x:v>80087.12615349753</x:v>
      </x:c>
      <x:c r="G45" s="8" t="n">
        <x:f>ABS(D45)</x:f>
        <x:v>282.99668929776817</x:v>
      </x:c>
      <x:c r="H45" s="8" t="n">
        <x:f>(B45-E45)^2</x:f>
        <x:v>75526571.8130063</x:v>
      </x:c>
    </x:row>
    <x:row r="46" ht="23" customHeight="1">
      <x:c r="A46" s="11" t="n">
        <x:v>10491</x:v>
      </x:c>
      <x:c r="B46" s="10" t="n">
        <x:v>13872.1</x:v>
      </x:c>
      <x:c r="C46" s="10" t="n">
        <x:v>14482.327526195477</x:v>
      </x:c>
      <x:c r="D46" s="10" t="n">
        <x:f>B46-C46</x:f>
        <x:v>-610.2275261954765</x:v>
      </x:c>
      <x:c r="E46" s="10" t="n">
        <x:v>16235.797499999999</x:v>
      </x:c>
      <x:c r="F46" s="10" t="n">
        <x:f>D46^2</x:f>
        <x:v>372377.6337266509</x:v>
      </x:c>
      <x:c r="G46" s="10" t="n">
        <x:f>ABS(D46)</x:f>
        <x:v>610.2275261954765</x:v>
      </x:c>
      <x:c r="H46" s="10" t="n">
        <x:f>(B46-E46)^2</x:f>
        <x:v>5587065.871506242</x:v>
      </x:c>
    </x:row>
    <x:row r="47" ht="23" customHeight="1">
      <x:c r="A47" s="12" t="n">
        <x:v>10587</x:v>
      </x:c>
      <x:c r="B47" s="8" t="n">
        <x:v>6751.8</x:v>
      </x:c>
      <x:c r="C47" s="8" t="n">
        <x:v>6948.129733102773</x:v>
      </x:c>
      <x:c r="D47" s="8" t="n">
        <x:f>B47-C47</x:f>
        <x:v>-196.32973310277248</x:v>
      </x:c>
      <x:c r="E47" s="8" t="n">
        <x:v>16235.797499999999</x:v>
      </x:c>
      <x:c r="F47" s="8" t="n">
        <x:f>D47^2</x:f>
        <x:v>38545.36410020588</x:v>
      </x:c>
      <x:c r="G47" s="8" t="n">
        <x:f>ABS(D47)</x:f>
        <x:v>196.32973310277248</x:v>
      </x:c>
      <x:c r="H47" s="8" t="n">
        <x:f>(B47-E47)^2</x:f>
        <x:v>89946208.58000621</x:v>
      </x:c>
    </x:row>
    <x:row r="48" ht="23" customHeight="1">
      <x:c r="A48" s="11" t="n">
        <x:v>10177</x:v>
      </x:c>
      <x:c r="B48" s="10" t="n">
        <x:v>21561.1</x:v>
      </x:c>
      <x:c r="C48" s="10" t="n">
        <x:v>22004.538244203144</x:v>
      </x:c>
      <x:c r="D48" s="10" t="n">
        <x:f>B48-C48</x:f>
        <x:v>-443.4382442031456</x:v>
      </x:c>
      <x:c r="E48" s="10" t="n">
        <x:v>16235.797499999999</x:v>
      </x:c>
      <x:c r="F48" s="10" t="n">
        <x:f>D48^2</x:f>
        <x:v>196637.47642196857</x:v>
      </x:c>
      <x:c r="G48" s="10" t="n">
        <x:f>ABS(D48)</x:f>
        <x:v>443.4382442031456</x:v>
      </x:c>
      <x:c r="H48" s="10" t="n">
        <x:f>(B48-E48)^2</x:f>
        <x:v>28358846.716506246</x:v>
      </x:c>
    </x:row>
    <x:row r="49" ht="23" customHeight="1">
      <x:c r="A49" s="12" t="n">
        <x:v>10320</x:v>
      </x:c>
      <x:c r="B49" s="8" t="n">
        <x:v>9386.1</x:v>
      </x:c>
      <x:c r="C49" s="8" t="n">
        <x:v>10083.297295291693</x:v>
      </x:c>
      <x:c r="D49" s="8" t="n">
        <x:f>B49-C49</x:f>
        <x:v>-697.1972952916931</x:v>
      </x:c>
      <x:c r="E49" s="8" t="n">
        <x:v>16235.797499999999</x:v>
      </x:c>
      <x:c r="F49" s="8" t="n">
        <x:f>D49^2</x:f>
        <x:v>486084.06856205227</x:v>
      </x:c>
      <x:c r="G49" s="8" t="n">
        <x:f>ABS(D49)</x:f>
        <x:v>697.1972952916931</x:v>
      </x:c>
      <x:c r="H49" s="8" t="n">
        <x:f>(B49-E49)^2</x:f>
        <x:v>46918355.84150623</x:v>
      </x:c>
    </x:row>
    <x:row r="50" ht="23" customHeight="1">
      <x:c r="A50" s="11" t="n">
        <x:v>10424</x:v>
      </x:c>
      <x:c r="B50" s="10" t="n">
        <x:v>16387.7</x:v>
      </x:c>
      <x:c r="C50" s="10" t="n">
        <x:v>17065.947374996496</x:v>
      </x:c>
      <x:c r="D50" s="10" t="n">
        <x:f>B50-C50</x:f>
        <x:v>-678.2473749964956</x:v>
      </x:c>
      <x:c r="E50" s="10" t="n">
        <x:v>16235.797499999999</x:v>
      </x:c>
      <x:c r="F50" s="10" t="n">
        <x:f>D50^2</x:f>
        <x:v>460019.50168963696</x:v>
      </x:c>
      <x:c r="G50" s="10" t="n">
        <x:f>ABS(D50)</x:f>
        <x:v>678.2473749964956</x:v>
      </x:c>
      <x:c r="H50" s="10" t="n">
        <x:f>(B50-E50)^2</x:f>
        <x:v>23074.369506250598</x:v>
      </x:c>
    </x:row>
    <x:row r="51" ht="23" customHeight="1">
      <x:c r="A51" s="12" t="n">
        <x:v>10534</x:v>
      </x:c>
      <x:c r="B51" s="8" t="n">
        <x:v>17232.5</x:v>
      </x:c>
      <x:c r="C51" s="8" t="n">
        <x:v>17317.685621056913</x:v>
      </x:c>
      <x:c r="D51" s="8" t="n">
        <x:f>B51-C51</x:f>
        <x:v>-85.18562105691308</x:v>
      </x:c>
      <x:c r="E51" s="8" t="n">
        <x:v>16235.797499999999</x:v>
      </x:c>
      <x:c r="F51" s="8" t="n">
        <x:f>D51^2</x:f>
        <x:v>7256.590034851993</x:v>
      </x:c>
      <x:c r="G51" s="8" t="n">
        <x:f>ABS(D51)</x:f>
        <x:v>85.18562105691308</x:v>
      </x:c>
      <x:c r="H51" s="8" t="n">
        <x:f>(B51-E51)^2</x:f>
        <x:v>993415.8735062524</x:v>
      </x:c>
    </x:row>
    <x:row r="52" ht="23" customHeight="1">
      <x:c r="A52" s="11" t="n">
        <x:v>10052</x:v>
      </x:c>
      <x:c r="B52" s="10" t="n">
        <x:v>22352.9</x:v>
      </x:c>
      <x:c r="C52" s="10" t="n">
        <x:v>21964.419408803496</x:v>
      </x:c>
      <x:c r="D52" s="10" t="n">
        <x:f>B52-C52</x:f>
        <x:v>388.480591196505</x:v>
      </x:c>
      <x:c r="E52" s="10" t="n">
        <x:v>16235.797499999999</x:v>
      </x:c>
      <x:c r="F52" s="10" t="n">
        <x:f>D52^2</x:f>
        <x:v>150917.16973638601</x:v>
      </x:c>
      <x:c r="G52" s="10" t="n">
        <x:f>ABS(D52)</x:f>
        <x:v>388.480591196505</x:v>
      </x:c>
      <x:c r="H52" s="10" t="n">
        <x:f>(B52-E52)^2</x:f>
        <x:v>37418942.99550629</x:v>
      </x:c>
    </x:row>
    <x:row r="53" ht="23" customHeight="1">
      <x:c r="A53" s="12" t="n">
        <x:v>10570</x:v>
      </x:c>
      <x:c r="B53" s="8" t="n">
        <x:v>12938.6</x:v>
      </x:c>
      <x:c r="C53" s="8" t="n">
        <x:v>13073.086733679553</x:v>
      </x:c>
      <x:c r="D53" s="8" t="n">
        <x:f>B53-C53</x:f>
        <x:v>-134.48673367955234</x:v>
      </x:c>
      <x:c r="E53" s="8" t="n">
        <x:v>16235.797499999999</x:v>
      </x:c>
      <x:c r="F53" s="8" t="n">
        <x:f>D53^2</x:f>
        <x:v>18086.68153579484</x:v>
      </x:c>
      <x:c r="G53" s="8" t="n">
        <x:f>ABS(D53)</x:f>
        <x:v>134.48673367955234</x:v>
      </x:c>
      <x:c r="H53" s="8" t="n">
        <x:f>(B53-E53)^2</x:f>
        <x:v>10871511.35400624</x:v>
      </x:c>
    </x:row>
    <x:row r="54" ht="23" customHeight="1">
      <x:c r="A54" s="11" t="n">
        <x:v>10007</x:v>
      </x:c>
      <x:c r="B54" s="10" t="n">
        <x:v>8114.7</x:v>
      </x:c>
      <x:c r="C54" s="10" t="n">
        <x:v>7921.5777763210845</x:v>
      </x:c>
      <x:c r="D54" s="10" t="n">
        <x:f>B54-C54</x:f>
        <x:v>193.12222367891536</x:v>
      </x:c>
      <x:c r="E54" s="10" t="n">
        <x:v>16235.797499999999</x:v>
      </x:c>
      <x:c r="F54" s="10" t="n">
        <x:f>D54^2</x:f>
        <x:v>37296.19327868902</x:v>
      </x:c>
      <x:c r="G54" s="10" t="n">
        <x:f>ABS(D54)</x:f>
        <x:v>193.12222367891536</x:v>
      </x:c>
      <x:c r="H54" s="10" t="n">
        <x:f>(B54-E54)^2</x:f>
        <x:v>65952224.60450623</x:v>
      </x:c>
    </x:row>
    <x:row r="55" ht="23" customHeight="1">
      <x:c r="A55" s="12" t="n">
        <x:v>10737</x:v>
      </x:c>
      <x:c r="B55" s="8" t="n">
        <x:v>14130.1</x:v>
      </x:c>
      <x:c r="C55" s="8" t="n">
        <x:v>14581.681727167519</x:v>
      </x:c>
      <x:c r="D55" s="8" t="n">
        <x:f>B55-C55</x:f>
        <x:v>-451.5817271675187</x:v>
      </x:c>
      <x:c r="E55" s="8" t="n">
        <x:v>16235.797499999999</x:v>
      </x:c>
      <x:c r="F55" s="8" t="n">
        <x:f>D55^2</x:f>
        <x:v>203926.0563115993</x:v>
      </x:c>
      <x:c r="G55" s="8" t="n">
        <x:f>ABS(D55)</x:f>
        <x:v>451.5817271675187</x:v>
      </x:c>
      <x:c r="H55" s="8" t="n">
        <x:f>(B55-E55)^2</x:f>
        <x:v>4433961.961506243</x:v>
      </x:c>
    </x:row>
    <x:row r="56" ht="23" customHeight="1">
      <x:c r="A56" s="11" t="n">
        <x:v>10334</x:v>
      </x:c>
      <x:c r="B56" s="10" t="n">
        <x:v>6983</x:v>
      </x:c>
      <x:c r="C56" s="10" t="n">
        <x:v>7230.417689402457</x:v>
      </x:c>
      <x:c r="D56" s="10" t="n">
        <x:f>B56-C56</x:f>
        <x:v>-247.41768940245674</x:v>
      </x:c>
      <x:c r="E56" s="10" t="n">
        <x:v>16235.797499999999</x:v>
      </x:c>
      <x:c r="F56" s="10" t="n">
        <x:f>D56^2</x:f>
        <x:v>61215.51302925056</x:v>
      </x:c>
      <x:c r="G56" s="10" t="n">
        <x:f>ABS(D56)</x:f>
        <x:v>247.41768940245674</x:v>
      </x:c>
      <x:c r="H56" s="10" t="n">
        <x:f>(B56-E56)^2</x:f>
        <x:v>85614261.57600623</x:v>
      </x:c>
    </x:row>
    <x:row r="57" ht="23" customHeight="1">
      <x:c r="A57" s="12" t="n">
        <x:v>10629</x:v>
      </x:c>
      <x:c r="B57" s="8" t="n">
        <x:v>5875.9</x:v>
      </x:c>
      <x:c r="C57" s="8" t="n">
        <x:v>5412.606816859812</x:v>
      </x:c>
      <x:c r="D57" s="8" t="n">
        <x:f>B57-C57</x:f>
        <x:v>463.29318314018747</x:v>
      </x:c>
      <x:c r="E57" s="8" t="n">
        <x:v>16235.797499999999</x:v>
      </x:c>
      <x:c r="F57" s="8" t="n">
        <x:f>D57^2</x:f>
        <x:v>214640.57354416727</x:v>
      </x:c>
      <x:c r="G57" s="8" t="n">
        <x:f>ABS(D57)</x:f>
        <x:v>463.29318314018747</x:v>
      </x:c>
      <x:c r="H57" s="8" t="n">
        <x:f>(B57-E57)^2</x:f>
        <x:v>107327476.21050623</x:v>
      </x:c>
    </x:row>
    <x:row r="58" ht="23" customHeight="1">
      <x:c r="A58" s="11" t="n">
        <x:v>10249</x:v>
      </x:c>
      <x:c r="B58" s="10" t="n">
        <x:v>25959.7</x:v>
      </x:c>
      <x:c r="C58" s="10" t="n">
        <x:v>25987.654090615215</x:v>
      </x:c>
      <x:c r="D58" s="10" t="n">
        <x:f>B58-C58</x:f>
        <x:v>-27.954090615214227</x:v>
      </x:c>
      <x:c r="E58" s="10" t="n">
        <x:v>16235.797499999999</x:v>
      </x:c>
      <x:c r="F58" s="10" t="n">
        <x:f>D58^2</x:f>
        <x:v>781.4311821236081</x:v>
      </x:c>
      <x:c r="G58" s="10" t="n">
        <x:f>ABS(D58)</x:f>
        <x:v>27.954090615214227</x:v>
      </x:c>
      <x:c r="H58" s="10" t="n">
        <x:f>(B58-E58)^2</x:f>
        <x:v>94554279.8295063</x:v>
      </x:c>
    </x:row>
    <x:row r="59" ht="23" customHeight="1">
      <x:c r="A59" s="12" t="n">
        <x:v>10526</x:v>
      </x:c>
      <x:c r="B59" s="8" t="n">
        <x:v>14956.1</x:v>
      </x:c>
      <x:c r="C59" s="8" t="n">
        <x:v>14829.449554781553</x:v>
      </x:c>
      <x:c r="D59" s="8" t="n">
        <x:f>B59-C59</x:f>
        <x:v>126.6504452184472</x:v>
      </x:c>
      <x:c r="E59" s="8" t="n">
        <x:v>16235.797499999999</x:v>
      </x:c>
      <x:c r="F59" s="8" t="n">
        <x:f>D59^2</x:f>
        <x:v>16040.335274030896</x:v>
      </x:c>
      <x:c r="G59" s="8" t="n">
        <x:f>ABS(D59)</x:f>
        <x:v>126.6504452184472</x:v>
      </x:c>
      <x:c r="H59" s="8" t="n">
        <x:f>(B59-E59)^2</x:f>
        <x:v>1637625.6915062459</x:v>
      </x:c>
    </x:row>
    <x:row r="60" ht="23" customHeight="1">
      <x:c r="A60" s="11" t="n">
        <x:v>10378</x:v>
      </x:c>
      <x:c r="B60" s="10" t="n">
        <x:v>6501.9</x:v>
      </x:c>
      <x:c r="C60" s="10" t="n">
        <x:v>6288.553007390208</x:v>
      </x:c>
      <x:c r="D60" s="10" t="n">
        <x:f>B60-C60</x:f>
        <x:v>213.3469926097914</x:v>
      </x:c>
      <x:c r="E60" s="10" t="n">
        <x:v>16235.797499999999</x:v>
      </x:c>
      <x:c r="F60" s="10" t="n">
        <x:f>D60^2</x:f>
        <x:v>45516.93925564239</x:v>
      </x:c>
      <x:c r="G60" s="10" t="n">
        <x:f>ABS(D60)</x:f>
        <x:v>213.3469926097914</x:v>
      </x:c>
      <x:c r="H60" s="10" t="n">
        <x:f>(B60-E60)^2</x:f>
        <x:v>94748760.54050623</x:v>
      </x:c>
    </x:row>
    <x:row r="61" ht="23" customHeight="1">
      <x:c r="A61" s="12" t="n">
        <x:v>10061</x:v>
      </x:c>
      <x:c r="B61" s="8" t="n">
        <x:v>12291.8</x:v>
      </x:c>
      <x:c r="C61" s="8" t="n">
        <x:v>12850.327180222226</x:v>
      </x:c>
      <x:c r="D61" s="8" t="n">
        <x:f>B61-C61</x:f>
        <x:v>-558.5271802222269</x:v>
      </x:c>
      <x:c r="E61" s="8" t="n">
        <x:v>16235.797499999999</x:v>
      </x:c>
      <x:c r="F61" s="8" t="n">
        <x:f>D61^2</x:f>
        <x:v>311952.6110469919</x:v>
      </x:c>
      <x:c r="G61" s="8" t="n">
        <x:f>ABS(D61)</x:f>
        <x:v>558.5271802222269</x:v>
      </x:c>
      <x:c r="H61" s="8" t="n">
        <x:f>(B61-E61)^2</x:f>
        <x:v>15555116.280006247</x:v>
      </x:c>
    </x:row>
    <x:row r="62" ht="23" customHeight="1">
      <x:c r="A62" s="11" t="n">
        <x:v>10585</x:v>
      </x:c>
      <x:c r="B62" s="10" t="n">
        <x:v>16444.2</x:v>
      </x:c>
      <x:c r="C62" s="10" t="n">
        <x:v>17017.416302865662</x:v>
      </x:c>
      <x:c r="D62" s="10" t="n">
        <x:f>B62-C62</x:f>
        <x:v>-573.2163028656614</x:v>
      </x:c>
      <x:c r="E62" s="10" t="n">
        <x:v>16235.797499999999</x:v>
      </x:c>
      <x:c r="F62" s="10" t="n">
        <x:f>D62^2</x:f>
        <x:v>328576.9298709777</x:v>
      </x:c>
      <x:c r="G62" s="10" t="n">
        <x:f>ABS(D62)</x:f>
        <x:v>573.2163028656614</x:v>
      </x:c>
      <x:c r="H62" s="10" t="n">
        <x:f>(B62-E62)^2</x:f>
        <x:v>43431.60200625082</x:v>
      </x:c>
    </x:row>
    <x:row r="63" ht="23" customHeight="1">
      <x:c r="A63" s="12" t="n">
        <x:v>10482</x:v>
      </x:c>
      <x:c r="B63" s="8" t="n">
        <x:v>18743.2</x:v>
      </x:c>
      <x:c r="C63" s="8" t="n">
        <x:v>18546.43810113159</x:v>
      </x:c>
      <x:c r="D63" s="8" t="n">
        <x:f>B63-C63</x:f>
        <x:v>196.76189886841166</x:v>
      </x:c>
      <x:c r="E63" s="8" t="n">
        <x:v>16235.797499999999</x:v>
      </x:c>
      <x:c r="F63" s="8" t="n">
        <x:f>D63^2</x:f>
        <x:v>38715.24484630306</x:v>
      </x:c>
      <x:c r="G63" s="8" t="n">
        <x:f>ABS(D63)</x:f>
        <x:v>196.76189886841166</x:v>
      </x:c>
      <x:c r="H63" s="8" t="n">
        <x:f>(B63-E63)^2</x:f>
        <x:v>6287067.29700626</x:v>
      </x:c>
    </x:row>
    <x:row r="64" ht="23" customHeight="1">
      <x:c r="A64" s="11" t="n">
        <x:v>10361</x:v>
      </x:c>
      <x:c r="B64" s="10" t="n">
        <x:v>12391</x:v>
      </x:c>
      <x:c r="C64" s="10" t="n">
        <x:v>12683.995168671196</x:v>
      </x:c>
      <x:c r="D64" s="10" t="n">
        <x:f>B64-C64</x:f>
        <x:v>-292.99516867119564</x:v>
      </x:c>
      <x:c r="E64" s="10" t="n">
        <x:v>16235.797499999999</x:v>
      </x:c>
      <x:c r="F64" s="10" t="n">
        <x:f>D64^2</x:f>
        <x:v>85846.16886466238</x:v>
      </x:c>
      <x:c r="G64" s="10" t="n">
        <x:f>ABS(D64)</x:f>
        <x:v>292.99516867119564</x:v>
      </x:c>
      <x:c r="H64" s="10" t="n">
        <x:f>(B64-E64)^2</x:f>
        <x:v>14782467.816006241</x:v>
      </x:c>
    </x:row>
    <x:row r="65" ht="23" customHeight="1">
      <x:c r="A65" s="12" t="n">
        <x:v>10721</x:v>
      </x:c>
      <x:c r="B65" s="8" t="n">
        <x:v>26039.5</x:v>
      </x:c>
      <x:c r="C65" s="8" t="n">
        <x:v>26166.609753097186</x:v>
      </x:c>
      <x:c r="D65" s="8" t="n">
        <x:f>B65-C65</x:f>
        <x:v>-127.1097530971856</x:v>
      </x:c>
      <x:c r="E65" s="8" t="n">
        <x:v>16235.797499999999</x:v>
      </x:c>
      <x:c r="F65" s="8" t="n">
        <x:f>D65^2</x:f>
        <x:v>16156.889332427485</x:v>
      </x:c>
      <x:c r="G65" s="8" t="n">
        <x:f>ABS(D65)</x:f>
        <x:v>127.1097530971856</x:v>
      </x:c>
      <x:c r="H65" s="8" t="n">
        <x:f>(B65-E65)^2</x:f>
        <x:v>96112582.70850627</x:v>
      </x:c>
    </x:row>
    <x:row r="66" ht="23" customHeight="1">
      <x:c r="A66" s="11" t="n">
        <x:v>10762</x:v>
      </x:c>
      <x:c r="B66" s="10" t="n">
        <x:v>12657.2</x:v>
      </x:c>
      <x:c r="C66" s="10" t="n">
        <x:v>12645.541078925986</x:v>
      </x:c>
      <x:c r="D66" s="10" t="n">
        <x:f>B66-C66</x:f>
        <x:v>11.65892107401487</x:v>
      </x:c>
      <x:c r="E66" s="10" t="n">
        <x:v>16235.797499999999</x:v>
      </x:c>
      <x:c r="F66" s="10" t="n">
        <x:f>D66^2</x:f>
        <x:v>135.93044061010806</x:v>
      </x:c>
      <x:c r="G66" s="10" t="n">
        <x:f>ABS(D66)</x:f>
        <x:v>11.65892107401487</x:v>
      </x:c>
      <x:c r="H66" s="10" t="n">
        <x:f>(B66-E66)^2</x:f>
        <x:v>12806360.067006236</x:v>
      </x:c>
    </x:row>
    <x:row r="67" ht="23" customHeight="1">
      <x:c r="A67" s="12" t="n">
        <x:v>10653</x:v>
      </x:c>
      <x:c r="B67" s="8" t="n">
        <x:v>17072.7</x:v>
      </x:c>
      <x:c r="C67" s="8" t="n">
        <x:v>16659.863542595398</x:v>
      </x:c>
      <x:c r="D67" s="8" t="n">
        <x:f>B67-C67</x:f>
        <x:v>412.8364574046027</x:v>
      </x:c>
      <x:c r="E67" s="8" t="n">
        <x:v>16235.797499999999</x:v>
      </x:c>
      <x:c r="F67" s="8" t="n">
        <x:f>D67^2</x:f>
        <x:v>170433.94056238234</x:v>
      </x:c>
      <x:c r="G67" s="8" t="n">
        <x:f>ABS(D67)</x:f>
        <x:v>412.8364574046027</x:v>
      </x:c>
      <x:c r="H67" s="8" t="n">
        <x:f>(B67-E67)^2</x:f>
        <x:v>700405.7945062533</x:v>
      </x:c>
    </x:row>
    <x:row r="68" ht="23" customHeight="1">
      <x:c r="A68" s="11" t="n">
        <x:v>10044</x:v>
      </x:c>
      <x:c r="B68" s="10" t="n">
        <x:v>21693.5</x:v>
      </x:c>
      <x:c r="C68" s="10" t="n">
        <x:v>22487.325574026705</x:v>
      </x:c>
      <x:c r="D68" s="10" t="n">
        <x:f>B68-C68</x:f>
        <x:v>-793.825574026705</x:v>
      </x:c>
      <x:c r="E68" s="10" t="n">
        <x:v>16235.797499999999</x:v>
      </x:c>
      <x:c r="F68" s="10" t="n">
        <x:f>D68^2</x:f>
        <x:v>630159.0419788277</x:v>
      </x:c>
      <x:c r="G68" s="10" t="n">
        <x:f>ABS(D68)</x:f>
        <x:v>793.825574026705</x:v>
      </x:c>
      <x:c r="H68" s="10" t="n">
        <x:f>(B68-E68)^2</x:f>
        <x:v>29786516.578506265</x:v>
      </x:c>
    </x:row>
    <x:row r="69" ht="23" customHeight="1">
      <x:c r="A69" s="12" t="n">
        <x:v>10352</x:v>
      </x:c>
      <x:c r="B69" s="8" t="n">
        <x:v>23110.5</x:v>
      </x:c>
      <x:c r="C69" s="8" t="n">
        <x:v>23320.781085075378</x:v>
      </x:c>
      <x:c r="D69" s="8" t="n">
        <x:f>B69-C69</x:f>
        <x:v>-210.28108507537763</x:v>
      </x:c>
      <x:c r="E69" s="8" t="n">
        <x:v>16235.797499999999</x:v>
      </x:c>
      <x:c r="F69" s="8" t="n">
        <x:f>D69^2</x:f>
        <x:v>44218.13474047821</x:v>
      </x:c>
      <x:c r="G69" s="8" t="n">
        <x:f>ABS(D69)</x:f>
        <x:v>210.28108507537763</x:v>
      </x:c>
      <x:c r="H69" s="8" t="n">
        <x:f>(B69-E69)^2</x:f>
        <x:v>47261534.46350627</x:v>
      </x:c>
    </x:row>
    <x:row r="70" ht="23" customHeight="1">
      <x:c r="A70" s="11" t="n">
        <x:v>10082</x:v>
      </x:c>
      <x:c r="B70" s="10" t="n">
        <x:v>17671.6</x:v>
      </x:c>
      <x:c r="C70" s="10" t="n">
        <x:v>18014.40892365793</x:v>
      </x:c>
      <x:c r="D70" s="10" t="n">
        <x:f>B70-C70</x:f>
        <x:v>-342.8089236579326</x:v>
      </x:c>
      <x:c r="E70" s="10" t="n">
        <x:v>16235.797499999999</x:v>
      </x:c>
      <x:c r="F70" s="10" t="n">
        <x:f>D70^2</x:f>
        <x:v>117517.95813951027</x:v>
      </x:c>
      <x:c r="G70" s="10" t="n">
        <x:f>ABS(D70)</x:f>
        <x:v>342.8089236579326</x:v>
      </x:c>
      <x:c r="H70" s="10" t="n">
        <x:f>(B70-E70)^2</x:f>
        <x:v>2061528.8190062493</x:v>
      </x:c>
    </x:row>
    <x:row r="71" ht="23" customHeight="1">
      <x:c r="A71" s="12" t="n">
        <x:v>10540</x:v>
      </x:c>
      <x:c r="B71" s="8" t="n">
        <x:v>9253.5</x:v>
      </x:c>
      <x:c r="C71" s="8" t="n">
        <x:v>9435.117586954782</x:v>
      </x:c>
      <x:c r="D71" s="8" t="n">
        <x:f>B71-C71</x:f>
        <x:v>-181.61758695478238</x:v>
      </x:c>
      <x:c r="E71" s="8" t="n">
        <x:v>16235.797499999999</x:v>
      </x:c>
      <x:c r="F71" s="8" t="n">
        <x:f>D71^2</x:f>
        <x:v>32984.94789127794</x:v>
      </x:c>
      <x:c r="G71" s="8" t="n">
        <x:f>ABS(D71)</x:f>
        <x:v>181.61758695478238</x:v>
      </x:c>
      <x:c r="H71" s="8" t="n">
        <x:f>(B71-E71)^2</x:f>
        <x:v>48752478.378506236</x:v>
      </x:c>
    </x:row>
    <x:row r="72" ht="23" customHeight="1">
      <x:c r="A72" s="11" t="n">
        <x:v>10235</x:v>
      </x:c>
      <x:c r="B72" s="10" t="n">
        <x:v>8357.3</x:v>
      </x:c>
      <x:c r="C72" s="10" t="n">
        <x:v>8171.182751320129</x:v>
      </x:c>
      <x:c r="D72" s="10" t="n">
        <x:f>B72-C72</x:f>
        <x:v>186.1172486798705</x:v>
      </x:c>
      <x:c r="E72" s="10" t="n">
        <x:v>16235.797499999999</x:v>
      </x:c>
      <x:c r="F72" s="10" t="n">
        <x:f>D72^2</x:f>
        <x:v>34639.63025616476</x:v>
      </x:c>
      <x:c r="G72" s="10" t="n">
        <x:f>ABS(D72)</x:f>
        <x:v>186.1172486798705</x:v>
      </x:c>
      <x:c r="H72" s="10" t="n">
        <x:f>(B72-E72)^2</x:f>
        <x:v>62070722.857506245</x:v>
      </x:c>
    </x:row>
    <x:row r="73" ht="23" customHeight="1">
      <x:c r="A73" s="12" t="n">
        <x:v>10704</x:v>
      </x:c>
      <x:c r="B73" s="8" t="n">
        <x:v>9928.8</x:v>
      </x:c>
      <x:c r="C73" s="8" t="n">
        <x:v>8704.793102578587</x:v>
      </x:c>
      <x:c r="D73" s="8" t="n">
        <x:f>B73-C73</x:f>
        <x:v>1224.0068974214118</x:v>
      </x:c>
      <x:c r="E73" s="8" t="n">
        <x:v>16235.797499999999</x:v>
      </x:c>
      <x:c r="F73" s="8" t="n">
        <x:f>D73^2</x:f>
        <x:v>1498192.8849351907</x:v>
      </x:c>
      <x:c r="G73" s="8" t="n">
        <x:f>ABS(D73)</x:f>
        <x:v>1224.0068974214118</x:v>
      </x:c>
      <x:c r="H73" s="8" t="n">
        <x:f>(B73-E73)^2</x:f>
        <x:v>39778217.46500625</x:v>
      </x:c>
    </x:row>
    <x:row r="74" ht="23" customHeight="1">
      <x:c r="A74" s="11" t="n">
        <x:v>10146</x:v>
      </x:c>
      <x:c r="B74" s="10" t="n">
        <x:v>5325.4</x:v>
      </x:c>
      <x:c r="C74" s="10" t="n">
        <x:v>5178.005634628973</x:v>
      </x:c>
      <x:c r="D74" s="10" t="n">
        <x:f>B74-C74</x:f>
        <x:v>147.39436537102665</x:v>
      </x:c>
      <x:c r="E74" s="10" t="n">
        <x:v>16235.797499999999</x:v>
      </x:c>
      <x:c r="F74" s="10" t="n">
        <x:f>D74^2</x:f>
        <x:v>21725.0989431277</x:v>
      </x:c>
      <x:c r="G74" s="10" t="n">
        <x:f>ABS(D74)</x:f>
        <x:v>147.39436537102665</x:v>
      </x:c>
      <x:c r="H74" s="10" t="n">
        <x:f>(B74-E74)^2</x:f>
        <x:v>119036773.60800622</x:v>
      </x:c>
    </x:row>
    <x:row r="75" ht="23" customHeight="1">
      <x:c r="A75" s="12" t="n">
        <x:v>10211</x:v>
      </x:c>
      <x:c r="B75" s="8" t="n">
        <x:v>17042.2</x:v>
      </x:c>
      <x:c r="C75" s="8" t="n">
        <x:v>17136.386668225095</x:v>
      </x:c>
      <x:c r="D75" s="8" t="n">
        <x:f>B75-C75</x:f>
        <x:v>-94.18666822509476</x:v>
      </x:c>
      <x:c r="E75" s="8" t="n">
        <x:v>16235.797499999999</x:v>
      </x:c>
      <x:c r="F75" s="8" t="n">
        <x:f>D75^2</x:f>
        <x:v>8871.128471344076</x:v>
      </x:c>
      <x:c r="G75" s="8" t="n">
        <x:f>ABS(D75)</x:f>
        <x:v>94.18666822509476</x:v>
      </x:c>
      <x:c r="H75" s="8" t="n">
        <x:f>(B75-E75)^2</x:f>
        <x:v>650284.9920062532</x:v>
      </x:c>
    </x:row>
    <x:row r="76" ht="23" customHeight="1">
      <x:c r="A76" s="11" t="n">
        <x:v>10433</x:v>
      </x:c>
      <x:c r="B76" s="10" t="n">
        <x:v>17571.7</x:v>
      </x:c>
      <x:c r="C76" s="10" t="n">
        <x:v>17337.39650128965</x:v>
      </x:c>
      <x:c r="D76" s="10" t="n">
        <x:f>B76-C76</x:f>
        <x:v>234.30349871034923</x:v>
      </x:c>
      <x:c r="E76" s="10" t="n">
        <x:v>16235.797499999999</x:v>
      </x:c>
      <x:c r="F76" s="10" t="n">
        <x:f>D76^2</x:f>
        <x:v>54898.12950791062</x:v>
      </x:c>
      <x:c r="G76" s="10" t="n">
        <x:f>ABS(D76)</x:f>
        <x:v>234.30349871034923</x:v>
      </x:c>
      <x:c r="H76" s="10" t="n">
        <x:f>(B76-E76)^2</x:f>
        <x:v>1784635.4895062551</x:v>
      </x:c>
    </x:row>
    <x:row r="77" ht="23" customHeight="1">
      <x:c r="A77" s="12" t="n">
        <x:v>10368</x:v>
      </x:c>
      <x:c r="B77" s="8" t="n">
        <x:v>22482.9</x:v>
      </x:c>
      <x:c r="C77" s="8" t="n">
        <x:v>23051.986295130177</x:v>
      </x:c>
      <x:c r="D77" s="8" t="n">
        <x:f>B77-C77</x:f>
        <x:v>-569.0862951301751</x:v>
      </x:c>
      <x:c r="E77" s="8" t="n">
        <x:v>16235.797499999999</x:v>
      </x:c>
      <x:c r="F77" s="8" t="n">
        <x:f>D77^2</x:f>
        <x:v>323859.21130498877</x:v>
      </x:c>
      <x:c r="G77" s="8" t="n">
        <x:f>ABS(D77)</x:f>
        <x:v>569.0862951301751</x:v>
      </x:c>
      <x:c r="H77" s="8" t="n">
        <x:f>(B77-E77)^2</x:f>
        <x:v>39026289.645506285</x:v>
      </x:c>
    </x:row>
    <x:row r="78" ht="23" customHeight="1">
      <x:c r="A78" s="11" t="n">
        <x:v>10594</x:v>
      </x:c>
      <x:c r="B78" s="10" t="n">
        <x:v>13966.7</x:v>
      </x:c>
      <x:c r="C78" s="10" t="n">
        <x:v>14093.959982133189</x:v>
      </x:c>
      <x:c r="D78" s="10" t="n">
        <x:f>B78-C78</x:f>
        <x:v>-127.2599821331878</x:v>
      </x:c>
      <x:c r="E78" s="10" t="n">
        <x:v>16235.797499999999</x:v>
      </x:c>
      <x:c r="F78" s="10" t="n">
        <x:f>D78^2</x:f>
        <x:v>16195.10305253928</x:v>
      </x:c>
      <x:c r="G78" s="10" t="n">
        <x:f>ABS(D78)</x:f>
        <x:v>127.2599821331878</x:v>
      </x:c>
      <x:c r="H78" s="10" t="n">
        <x:f>(B78-E78)^2</x:f>
        <x:v>5148803.4645062415</x:v>
      </x:c>
    </x:row>
    <x:row r="79" ht="23" customHeight="1">
      <x:c r="A79" s="12" t="n">
        <x:v>10514</x:v>
      </x:c>
      <x:c r="B79" s="8" t="n">
        <x:v>24072.7</x:v>
      </x:c>
      <x:c r="C79" s="8" t="n">
        <x:v>23520.820705203503</x:v>
      </x:c>
      <x:c r="D79" s="8" t="n">
        <x:f>B79-C79</x:f>
        <x:v>551.8792947964976</x:v>
      </x:c>
      <x:c r="E79" s="8" t="n">
        <x:v>16235.797499999999</x:v>
      </x:c>
      <x:c r="F79" s="8" t="n">
        <x:f>D79^2</x:f>
        <x:v>304570.75602507946</x:v>
      </x:c>
      <x:c r="G79" s="8" t="n">
        <x:f>ABS(D79)</x:f>
        <x:v>551.8792947964976</x:v>
      </x:c>
      <x:c r="H79" s="8" t="n">
        <x:f>(B79-E79)^2</x:f>
        <x:v>61417040.79450628</x:v>
      </x:c>
    </x:row>
    <x:row r="80" ht="23" customHeight="1">
      <x:c r="A80" s="11" t="n">
        <x:v>10468</x:v>
      </x:c>
      <x:c r="B80" s="10" t="n">
        <x:v>23280</x:v>
      </x:c>
      <x:c r="C80" s="10" t="n">
        <x:v>22436.2752864071</x:v>
      </x:c>
      <x:c r="D80" s="10" t="n">
        <x:f>B80-C80</x:f>
        <x:v>843.7247135928992</x:v>
      </x:c>
      <x:c r="E80" s="10" t="n">
        <x:v>16235.797499999999</x:v>
      </x:c>
      <x:c r="F80" s="10" t="n">
        <x:f>D80^2</x:f>
        <x:v>711871.3923274198</x:v>
      </x:c>
      <x:c r="G80" s="10" t="n">
        <x:f>ABS(D80)</x:f>
        <x:v>843.7247135928992</x:v>
      </x:c>
      <x:c r="H80" s="10" t="n">
        <x:f>(B80-E80)^2</x:f>
        <x:v>49620788.86100627</x:v>
      </x:c>
    </x:row>
    <x:row r="81" ht="23" customHeight="1">
      <x:c r="A81" s="12" t="n">
        <x:v>10079</x:v>
      </x:c>
      <x:c r="B81" s="8" t="n">
        <x:v>12211.9</x:v>
      </x:c>
      <x:c r="C81" s="8" t="n">
        <x:v>12437.210704037743</x:v>
      </x:c>
      <x:c r="D81" s="8" t="n">
        <x:f>B81-C81</x:f>
        <x:v>-225.31070403774356</x:v>
      </x:c>
      <x:c r="E81" s="8" t="n">
        <x:v>16235.797499999999</x:v>
      </x:c>
      <x:c r="F81" s="8" t="n">
        <x:f>D81^2</x:f>
        <x:v>50764.91335398368</x:v>
      </x:c>
      <x:c r="G81" s="8" t="n">
        <x:f>ABS(D81)</x:f>
        <x:v>225.31070403774356</x:v>
      </x:c>
      <x:c r="H81" s="8" t="n">
        <x:f>(B81-E81)^2</x:f>
        <x:v>16191751.090506243</x:v>
      </x:c>
    </x:row>
    <x:row r="82" ht="23" customHeight="1">
      <x:c r="A82" s="11" t="n">
        <x:v>10734</x:v>
      </x:c>
      <x:c r="B82" s="10" t="n">
        <x:v>15955.1</x:v>
      </x:c>
      <x:c r="C82" s="10" t="n">
        <x:v>16025.282613673346</x:v>
      </x:c>
      <x:c r="D82" s="10" t="n">
        <x:f>B82-C82</x:f>
        <x:v>-70.18261367334526</x:v>
      </x:c>
      <x:c r="E82" s="10" t="n">
        <x:v>16235.797499999999</x:v>
      </x:c>
      <x:c r="F82" s="10" t="n">
        <x:f>D82^2</x:f>
        <x:v>4925.599262022029</x:v>
      </x:c>
      <x:c r="G82" s="10" t="n">
        <x:f>ABS(D82)</x:f>
        <x:v>70.18261367334526</x:v>
      </x:c>
      <x:c r="H82" s="10" t="n">
        <x:f>(B82-E82)^2</x:f>
        <x:v>78791.0865062491</x:v>
      </x:c>
    </x:row>
    <x:row r="83" ht="23" customHeight="1">
      <x:c r="A83" s="12" t="n">
        <x:v>10091</x:v>
      </x:c>
      <x:c r="B83" s="8" t="n">
        <x:v>8496.5</x:v>
      </x:c>
      <x:c r="C83" s="8" t="n">
        <x:v>9227.709301598676</x:v>
      </x:c>
      <x:c r="D83" s="8" t="n">
        <x:f>B83-C83</x:f>
        <x:v>-731.2093015986757</x:v>
      </x:c>
      <x:c r="E83" s="8" t="n">
        <x:v>16235.797499999999</x:v>
      </x:c>
      <x:c r="F83" s="8" t="n">
        <x:f>D83^2</x:f>
        <x:v>534667.042744423</x:v>
      </x:c>
      <x:c r="G83" s="8" t="n">
        <x:f>ABS(D83)</x:f>
        <x:v>731.2093015986757</x:v>
      </x:c>
      <x:c r="H83" s="8" t="n">
        <x:f>(B83-E83)^2</x:f>
        <x:v>59896725.79350623</x:v>
      </x:c>
    </x:row>
    <x:row r="84" ht="23" customHeight="1">
      <x:c r="A84" s="11" t="n">
        <x:v>10102</x:v>
      </x:c>
      <x:c r="B84" s="10" t="n">
        <x:v>20093.2</x:v>
      </x:c>
      <x:c r="C84" s="10" t="n">
        <x:v>19570.108216329452</x:v>
      </x:c>
      <x:c r="D84" s="10" t="n">
        <x:f>B84-C84</x:f>
        <x:v>523.0917836705485</x:v>
      </x:c>
      <x:c r="E84" s="10" t="n">
        <x:v>16235.797499999999</x:v>
      </x:c>
      <x:c r="F84" s="10" t="n">
        <x:f>D84^2</x:f>
        <x:v>273625.01414363587</x:v>
      </x:c>
      <x:c r="G84" s="10" t="n">
        <x:f>ABS(D84)</x:f>
        <x:v>523.0917836705485</x:v>
      </x:c>
      <x:c r="H84" s="10" t="n">
        <x:f>(B84-E84)^2</x:f>
        <x:v>14879554.047006264</x:v>
      </x:c>
    </x:row>
    <x:row r="85" ht="23" customHeight="1">
      <x:c r="A85" s="12" t="n">
        <x:v>10240</x:v>
      </x:c>
      <x:c r="B85" s="8" t="n">
        <x:v>9854</x:v>
      </x:c>
      <x:c r="C85" s="8" t="n">
        <x:v>9961.466237429386</x:v>
      </x:c>
      <x:c r="D85" s="8" t="n">
        <x:f>B85-C85</x:f>
        <x:v>-107.46623742938573</x:v>
      </x:c>
      <x:c r="E85" s="8" t="n">
        <x:v>16235.797499999999</x:v>
      </x:c>
      <x:c r="F85" s="8" t="n">
        <x:f>D85^2</x:f>
        <x:v>11548.992187229105</x:v>
      </x:c>
      <x:c r="G85" s="8" t="n">
        <x:f>ABS(D85)</x:f>
        <x:v>107.46623742938573</x:v>
      </x:c>
      <x:c r="H85" s="8" t="n">
        <x:f>(B85-E85)^2</x:f>
        <x:v>40727339.33100624</x:v>
      </x:c>
    </x:row>
    <x:row r="86" ht="23" customHeight="1">
      <x:c r="A86" s="11" t="n">
        <x:v>10394</x:v>
      </x:c>
      <x:c r="B86" s="10" t="n">
        <x:v>19699.1</x:v>
      </x:c>
      <x:c r="C86" s="10" t="n">
        <x:v>19981.873633899635</x:v>
      </x:c>
      <x:c r="D86" s="10" t="n">
        <x:f>B86-C86</x:f>
        <x:v>-282.7736338996365</x:v>
      </x:c>
      <x:c r="E86" s="10" t="n">
        <x:v>16235.797499999999</x:v>
      </x:c>
      <x:c r="F86" s="10" t="n">
        <x:f>D86^2</x:f>
        <x:v>79960.92802880565</x:v>
      </x:c>
      <x:c r="G86" s="10" t="n">
        <x:f>ABS(D86)</x:f>
        <x:v>282.7736338996365</x:v>
      </x:c>
      <x:c r="H86" s="10" t="n">
        <x:f>(B86-E86)^2</x:f>
        <x:v>11994464.206506249</x:v>
      </x:c>
    </x:row>
    <x:row r="87" ht="23" customHeight="1">
      <x:c r="A87" s="12" t="n">
        <x:v>10315</x:v>
      </x:c>
      <x:c r="B87" s="8" t="n">
        <x:v>21343.9</x:v>
      </x:c>
      <x:c r="C87" s="8" t="n">
        <x:v>21083.810629742107</x:v>
      </x:c>
      <x:c r="D87" s="8" t="n">
        <x:f>B87-C87</x:f>
        <x:v>260.0893702578942</x:v>
      </x:c>
      <x:c r="E87" s="8" t="n">
        <x:v>16235.797499999999</x:v>
      </x:c>
      <x:c r="F87" s="8" t="n">
        <x:f>D87^2</x:f>
        <x:v>67646.48052114797</x:v>
      </x:c>
      <x:c r="G87" s="8" t="n">
        <x:f>ABS(D87)</x:f>
        <x:v>260.0893702578942</x:v>
      </x:c>
      <x:c r="H87" s="8" t="n">
        <x:f>(B87-E87)^2</x:f>
        <x:v>26092711.150506277</x:v>
      </x:c>
    </x:row>
    <x:row r="88" ht="23" customHeight="1">
      <x:c r="A88" s="11" t="n">
        <x:v>10169</x:v>
      </x:c>
      <x:c r="B88" s="10" t="n">
        <x:v>7055.7</x:v>
      </x:c>
      <x:c r="C88" s="10" t="n">
        <x:v>7326.671684462264</x:v>
      </x:c>
      <x:c r="D88" s="10" t="n">
        <x:f>B88-C88</x:f>
        <x:v>-270.9716844622644</x:v>
      </x:c>
      <x:c r="E88" s="10" t="n">
        <x:v>16235.797499999999</x:v>
      </x:c>
      <x:c r="F88" s="10" t="n">
        <x:f>D88^2</x:f>
        <x:v>73425.65378031699</x:v>
      </x:c>
      <x:c r="G88" s="10" t="n">
        <x:f>ABS(D88)</x:f>
        <x:v>270.9716844622644</x:v>
      </x:c>
      <x:c r="H88" s="10" t="n">
        <x:f>(B88-E88)^2</x:f>
        <x:v>84274190.10950625</x:v>
      </x:c>
    </x:row>
    <x:row r="89" ht="23" customHeight="1">
      <x:c r="A89" s="12" t="n">
        <x:v>10522</x:v>
      </x:c>
      <x:c r="B89" s="8" t="n">
        <x:v>13020.1</x:v>
      </x:c>
      <x:c r="C89" s="8" t="n">
        <x:v>13231.192219343106</x:v>
      </x:c>
      <x:c r="D89" s="8" t="n">
        <x:f>B89-C89</x:f>
        <x:v>-211.09221934310517</x:v>
      </x:c>
      <x:c r="E89" s="8" t="n">
        <x:v>16235.797499999999</x:v>
      </x:c>
      <x:c r="F89" s="8" t="n">
        <x:f>D89^2</x:f>
        <x:v>44559.925067197626</x:v>
      </x:c>
      <x:c r="G89" s="8" t="n">
        <x:f>ABS(D89)</x:f>
        <x:v>211.09221934310517</x:v>
      </x:c>
      <x:c r="H89" s="8" t="n">
        <x:f>(B89-E89)^2</x:f>
        <x:v>10340710.41150624</x:v>
      </x:c>
    </x:row>
    <x:row r="90" ht="23" customHeight="1">
      <x:c r="A90" s="11" t="n">
        <x:v>10347</x:v>
      </x:c>
      <x:c r="B90" s="10" t="n">
        <x:v>16424</x:v>
      </x:c>
      <x:c r="C90" s="10" t="n">
        <x:v>16990.004668542642</x:v>
      </x:c>
      <x:c r="D90" s="10" t="n">
        <x:f>B90-C90</x:f>
        <x:v>-566.0046685426423</x:v>
      </x:c>
      <x:c r="E90" s="10" t="n">
        <x:v>16235.797499999999</x:v>
      </x:c>
      <x:c r="F90" s="10" t="n">
        <x:f>D90^2</x:f>
        <x:v>320361.2848120664</x:v>
      </x:c>
      <x:c r="G90" s="10" t="n">
        <x:f>ABS(D90)</x:f>
        <x:v>566.0046685426423</x:v>
      </x:c>
      <x:c r="H90" s="10" t="n">
        <x:f>(B90-E90)^2</x:f>
        <x:v>35420.18100625047</x:v>
      </x:c>
    </x:row>
    <x:row r="91" ht="23" customHeight="1">
      <x:c r="A91" s="12" t="n">
        <x:v>10651</x:v>
      </x:c>
      <x:c r="B91" s="8" t="n">
        <x:v>7510.1</x:v>
      </x:c>
      <x:c r="C91" s="8" t="n">
        <x:v>7471.204174561655</x:v>
      </x:c>
      <x:c r="D91" s="8" t="n">
        <x:f>B91-C91</x:f>
        <x:v>38.89582543834513</x:v>
      </x:c>
      <x:c r="E91" s="8" t="n">
        <x:v>16235.797499999999</x:v>
      </x:c>
      <x:c r="F91" s="8" t="n">
        <x:f>D91^2</x:f>
        <x:v>1512.885236530216</x:v>
      </x:c>
      <x:c r="G91" s="8" t="n">
        <x:f>ABS(D91)</x:f>
        <x:v>38.89582543834513</x:v>
      </x:c>
      <x:c r="H91" s="8" t="n">
        <x:f>(B91-E91)^2</x:f>
        <x:v>76137796.86150622</x:v>
      </x:c>
    </x:row>
    <x:row r="92" ht="23" customHeight="1">
      <x:c r="A92" s="11" t="n">
        <x:v>10216</x:v>
      </x:c>
      <x:c r="B92" s="10" t="n">
        <x:v>11044</x:v>
      </x:c>
      <x:c r="C92" s="10" t="n">
        <x:v>10882.313526275622</x:v>
      </x:c>
      <x:c r="D92" s="10" t="n">
        <x:f>B92-C92</x:f>
        <x:v>161.68647372437772</x:v>
      </x:c>
      <x:c r="E92" s="10" t="n">
        <x:v>16235.797499999999</x:v>
      </x:c>
      <x:c r="F92" s="10" t="n">
        <x:f>D92^2</x:f>
        <x:v>26142.515785423886</x:v>
      </x:c>
      <x:c r="G92" s="10" t="n">
        <x:f>ABS(D92)</x:f>
        <x:v>161.68647372437772</x:v>
      </x:c>
      <x:c r="H92" s="10" t="n">
        <x:f>(B92-E92)^2</x:f>
        <x:v>26954761.281006236</x:v>
      </x:c>
    </x:row>
    <x:row r="93" ht="23" customHeight="1">
      <x:c r="A93" s="12" t="n">
        <x:v>10623</x:v>
      </x:c>
      <x:c r="B93" s="8" t="n">
        <x:v>12756.2</x:v>
      </x:c>
      <x:c r="C93" s="8" t="n">
        <x:v>12735.110822636192</x:v>
      </x:c>
      <x:c r="D93" s="8" t="n">
        <x:f>B93-C93</x:f>
        <x:v>21.08917736380863</x:v>
      </x:c>
      <x:c r="E93" s="8" t="n">
        <x:v>16235.797499999999</x:v>
      </x:c>
      <x:c r="F93" s="8" t="n">
        <x:f>D93^2</x:f>
        <x:v>444.75340188217837</x:v>
      </x:c>
      <x:c r="G93" s="8" t="n">
        <x:f>ABS(D93)</x:f>
        <x:v>21.08917736380863</x:v>
      </x:c>
      <x:c r="H93" s="8" t="n">
        <x:f>(B93-E93)^2</x:f>
        <x:v>12107598.762006236</x:v>
      </x:c>
    </x:row>
    <x:row r="94" ht="23" customHeight="1">
      <x:c r="A94" s="11" t="n">
        <x:v>10463</x:v>
      </x:c>
      <x:c r="B94" s="10" t="n">
        <x:v>20314.5</x:v>
      </x:c>
      <x:c r="C94" s="10" t="n">
        <x:v>20326.00019263706</x:v>
      </x:c>
      <x:c r="D94" s="10" t="n">
        <x:f>B94-C94</x:f>
        <x:v>-11.500192637060536</x:v>
      </x:c>
      <x:c r="E94" s="10" t="n">
        <x:v>16235.797499999999</x:v>
      </x:c>
      <x:c r="F94" s="10" t="n">
        <x:f>D94^2</x:f>
        <x:v>132.25443068950136</x:v>
      </x:c>
      <x:c r="G94" s="10" t="n">
        <x:f>ABS(D94)</x:f>
        <x:v>11.500192637060536</x:v>
      </x:c>
      <x:c r="H94" s="10" t="n">
        <x:f>(B94-E94)^2</x:f>
        <x:v>16635814.08350626</x:v>
      </x:c>
    </x:row>
    <x:row r="95" ht="23" customHeight="1">
      <x:c r="A95" s="12" t="n">
        <x:v>10164</x:v>
      </x:c>
      <x:c r="B95" s="8" t="n">
        <x:v>17123.4</x:v>
      </x:c>
      <x:c r="C95" s="8" t="n">
        <x:v>16919.35411867253</x:v>
      </x:c>
      <x:c r="D95" s="8" t="n">
        <x:f>B95-C95</x:f>
        <x:v>204.04588132747085</x:v>
      </x:c>
      <x:c r="E95" s="8" t="n">
        <x:v>16235.797499999999</x:v>
      </x:c>
      <x:c r="F95" s="8" t="n">
        <x:f>D95^2</x:f>
        <x:v>41634.72168670432</x:v>
      </x:c>
      <x:c r="G95" s="8" t="n">
        <x:f>ABS(D95)</x:f>
        <x:v>204.04588132747085</x:v>
      </x:c>
      <x:c r="H95" s="8" t="n">
        <x:f>(B95-E95)^2</x:f>
        <x:v>787838.1980062547</x:v>
      </x:c>
    </x:row>
    <x:row r="96" ht="23" customHeight="1">
      <x:c r="A96" s="11" t="n">
        <x:v>10447</x:v>
      </x:c>
      <x:c r="B96" s="10" t="n">
        <x:v>24183.3</x:v>
      </x:c>
      <x:c r="C96" s="10" t="n">
        <x:v>24404.543899940625</x:v>
      </x:c>
      <x:c r="D96" s="10" t="n">
        <x:f>B96-C96</x:f>
        <x:v>-221.24389994062585</x:v>
      </x:c>
      <x:c r="E96" s="10" t="n">
        <x:v>16235.797499999999</x:v>
      </x:c>
      <x:c r="F96" s="10" t="n">
        <x:f>D96^2</x:f>
        <x:v>48948.863260937665</x:v>
      </x:c>
      <x:c r="G96" s="10" t="n">
        <x:f>ABS(D96)</x:f>
        <x:v>221.24389994062585</x:v>
      </x:c>
      <x:c r="H96" s="10" t="n">
        <x:f>(B96-E96)^2</x:f>
        <x:v>63162795.987506256</x:v>
      </x:c>
    </x:row>
    <x:row r="97" ht="23" customHeight="1">
      <x:c r="A97" s="12" t="n">
        <x:v>10080</x:v>
      </x:c>
      <x:c r="B97" s="8" t="n">
        <x:v>6198.6</x:v>
      </x:c>
      <x:c r="C97" s="8" t="n">
        <x:v>6888.133917705623</x:v>
      </x:c>
      <x:c r="D97" s="8" t="n">
        <x:f>B97-C97</x:f>
        <x:v>-689.533917705623</x:v>
      </x:c>
      <x:c r="E97" s="8" t="n">
        <x:v>16235.797499999999</x:v>
      </x:c>
      <x:c r="F97" s="8" t="n">
        <x:f>D97^2</x:f>
        <x:v>475457.0236664649</x:v>
      </x:c>
      <x:c r="G97" s="8" t="n">
        <x:f>ABS(D97)</x:f>
        <x:v>689.533917705623</x:v>
      </x:c>
      <x:c r="H97" s="8" t="n">
        <x:f>(B97-E97)^2</x:f>
        <x:v>100745333.65400621</x:v>
      </x:c>
    </x:row>
    <x:row r="98" ht="23" customHeight="1">
      <x:c r="A98" s="11" t="n">
        <x:v>10210</x:v>
      </x:c>
      <x:c r="B98" s="10" t="n">
        <x:v>6744.6</x:v>
      </x:c>
      <x:c r="C98" s="10" t="n">
        <x:v>7040.63264991148</x:v>
      </x:c>
      <x:c r="D98" s="10" t="n">
        <x:f>B98-C98</x:f>
        <x:v>-296.0326499114799</x:v>
      </x:c>
      <x:c r="E98" s="10" t="n">
        <x:v>16235.797499999999</x:v>
      </x:c>
      <x:c r="F98" s="10" t="n">
        <x:f>D98^2</x:f>
        <x:v>87635.32981361281</x:v>
      </x:c>
      <x:c r="G98" s="10" t="n">
        <x:f>ABS(D98)</x:f>
        <x:v>296.0326499114799</x:v>
      </x:c>
      <x:c r="H98" s="10" t="n">
        <x:f>(B98-E98)^2</x:f>
        <x:v>90082829.98400623</x:v>
      </x:c>
    </x:row>
    <x:row r="99" ht="23" customHeight="1">
      <x:c r="A99" s="12" t="n">
        <x:v>10132</x:v>
      </x:c>
      <x:c r="B99" s="8" t="n">
        <x:v>10676.8</x:v>
      </x:c>
      <x:c r="C99" s="8" t="n">
        <x:v>10483.895283168635</x:v>
      </x:c>
      <x:c r="D99" s="8" t="n">
        <x:f>B99-C99</x:f>
        <x:v>192.90471683136457</x:v>
      </x:c>
      <x:c r="E99" s="8" t="n">
        <x:v>16235.797499999999</x:v>
      </x:c>
      <x:c r="F99" s="8" t="n">
        <x:f>D99^2</x:f>
        <x:v>37212.22977578895</x:v>
      </x:c>
      <x:c r="G99" s="8" t="n">
        <x:f>ABS(D99)</x:f>
        <x:v>192.90471683136457</x:v>
      </x:c>
      <x:c r="H99" s="8" t="n">
        <x:f>(B99-E99)^2</x:f>
        <x:v>30902453.205006246</x:v>
      </x:c>
    </x:row>
    <x:row r="100" ht="23" customHeight="1">
      <x:c r="A100" s="11" t="n">
        <x:v>10138</x:v>
      </x:c>
      <x:c r="B100" s="10" t="n">
        <x:v>20834.5</x:v>
      </x:c>
      <x:c r="C100" s="10" t="n">
        <x:v>20106.845111171926</x:v>
      </x:c>
      <x:c r="D100" s="10" t="n">
        <x:f>B100-C100</x:f>
        <x:v>727.654888828074</x:v>
      </x:c>
      <x:c r="E100" s="10" t="n">
        <x:v>16235.797499999999</x:v>
      </x:c>
      <x:c r="F100" s="10" t="n">
        <x:f>D100^2</x:f>
        <x:v>529481.6372353968</x:v>
      </x:c>
      <x:c r="G100" s="10" t="n">
        <x:f>ABS(D100)</x:f>
        <x:v>727.654888828074</x:v>
      </x:c>
      <x:c r="H100" s="10" t="n">
        <x:f>(B100-E100)^2</x:f>
        <x:v>21148064.68350626</x:v>
      </x:c>
    </x:row>
    <x:row r="101" ht="23" customHeight="1">
      <x:c r="A101" s="12" t="n">
        <x:v>10465</x:v>
      </x:c>
      <x:c r="B101" s="8" t="n">
        <x:v>22500.6</x:v>
      </x:c>
      <x:c r="C101" s="8" t="n">
        <x:v>22612.11899005789</x:v>
      </x:c>
      <x:c r="D101" s="8" t="n">
        <x:f>B101-C101</x:f>
        <x:v>-111.51899005789164</x:v>
      </x:c>
      <x:c r="E101" s="8" t="n">
        <x:v>16235.797499999999</x:v>
      </x:c>
      <x:c r="F101" s="8" t="n">
        <x:f>D101^2</x:f>
        <x:v>12436.485143532134</x:v>
      </x:c>
      <x:c r="G101" s="8" t="n">
        <x:f>ABS(D101)</x:f>
        <x:v>111.51899005789164</x:v>
      </x:c>
      <x:c r="H101" s="8" t="n">
        <x:f>(B101-E101)^2</x:f>
        <x:v>39247750.36400624</x:v>
      </x:c>
    </x:row>
    <x:row r="102" ht="23" customHeight="1">
      <x:c r="A102" s="11" t="n">
        <x:v>10742</x:v>
      </x:c>
      <x:c r="B102" s="10" t="n">
        <x:v>13274.2</x:v>
      </x:c>
      <x:c r="C102" s="10" t="n">
        <x:v>13132.299361234798</x:v>
      </x:c>
      <x:c r="D102" s="10" t="n">
        <x:f>B102-C102</x:f>
        <x:v>141.90063876520253</x:v>
      </x:c>
      <x:c r="E102" s="10" t="n">
        <x:v>16235.797499999999</x:v>
      </x:c>
      <x:c r="F102" s="10" t="n">
        <x:f>D102^2</x:f>
        <x:v>20135.7912819725</x:v>
      </x:c>
      <x:c r="G102" s="10" t="n">
        <x:f>ABS(D102)</x:f>
        <x:v>141.90063876520253</x:v>
      </x:c>
      <x:c r="H102" s="10" t="n">
        <x:f>(B102-E102)^2</x:f>
        <x:v>8771059.752006238</x:v>
      </x:c>
    </x:row>
    <x:row r="103" ht="23" customHeight="1">
      <x:c r="A103" s="12" t="n">
        <x:v>10725</x:v>
      </x:c>
      <x:c r="B103" s="8" t="n">
        <x:v>19497.5</x:v>
      </x:c>
      <x:c r="C103" s="8" t="n">
        <x:v>19380.614401130297</x:v>
      </x:c>
      <x:c r="D103" s="8" t="n">
        <x:f>B103-C103</x:f>
        <x:v>116.88559886970324</x:v>
      </x:c>
      <x:c r="E103" s="8" t="n">
        <x:v>16235.797499999999</x:v>
      </x:c>
      <x:c r="F103" s="8" t="n">
        <x:f>D103^2</x:f>
        <x:v>13662.243223129173</x:v>
      </x:c>
      <x:c r="G103" s="8" t="n">
        <x:f>ABS(D103)</x:f>
        <x:v>116.88559886970324</x:v>
      </x:c>
      <x:c r="H103" s="8" t="n">
        <x:f>(B103-E103)^2</x:f>
        <x:v>10638703.198506258</x:v>
      </x:c>
    </x:row>
    <x:row r="104" ht="23" customHeight="1">
      <x:c r="A104" s="11" t="n">
        <x:v>10327</x:v>
      </x:c>
      <x:c r="B104" s="10" t="n">
        <x:v>15008.8</x:v>
      </x:c>
      <x:c r="C104" s="10" t="n">
        <x:v>15280.937465727644</x:v>
      </x:c>
      <x:c r="D104" s="10" t="n">
        <x:f>B104-C104</x:f>
        <x:v>-272.13746572764467</x:v>
      </x:c>
      <x:c r="E104" s="10" t="n">
        <x:v>16235.797499999999</x:v>
      </x:c>
      <x:c r="F104" s="10" t="n">
        <x:f>D104^2</x:f>
        <x:v>74058.80025266498</x:v>
      </x:c>
      <x:c r="G104" s="10" t="n">
        <x:f>ABS(D104)</x:f>
        <x:v>272.13746572764467</x:v>
      </x:c>
      <x:c r="H104" s="10" t="n">
        <x:f>(B104-E104)^2</x:f>
        <x:v>1505522.8650062487</x:v>
      </x:c>
    </x:row>
    <x:row r="105" ht="23" customHeight="1">
      <x:c r="A105" s="12" t="n">
        <x:v>10528</x:v>
      </x:c>
      <x:c r="B105" s="8" t="n">
        <x:v>10229.6</x:v>
      </x:c>
      <x:c r="C105" s="8" t="n">
        <x:v>10358.030569462064</x:v>
      </x:c>
      <x:c r="D105" s="8" t="n">
        <x:f>B105-C105</x:f>
        <x:v>-128.43056946206343</x:v>
      </x:c>
      <x:c r="E105" s="8" t="n">
        <x:v>16235.797499999999</x:v>
      </x:c>
      <x:c r="F105" s="8" t="n">
        <x:f>D105^2</x:f>
        <x:v>16494.4111723499</x:v>
      </x:c>
      <x:c r="G105" s="8" t="n">
        <x:f>ABS(D105)</x:f>
        <x:v>128.43056946206343</x:v>
      </x:c>
      <x:c r="H105" s="8" t="n">
        <x:f>(B105-E105)^2</x:f>
        <x:v>36074408.40900623</x:v>
      </x:c>
    </x:row>
    <x:row r="106" ht="23" customHeight="1">
      <x:c r="A106" s="11" t="n">
        <x:v>10179</x:v>
      </x:c>
      <x:c r="B106" s="10" t="n">
        <x:v>24306.3</x:v>
      </x:c>
      <x:c r="C106" s="10" t="n">
        <x:v>23572.236982562135</x:v>
      </x:c>
      <x:c r="D106" s="10" t="n">
        <x:f>B106-C106</x:f>
        <x:v>734.0630174378639</x:v>
      </x:c>
      <x:c r="E106" s="10" t="n">
        <x:v>16235.797499999999</x:v>
      </x:c>
      <x:c r="F106" s="10" t="n">
        <x:f>D106^2</x:f>
        <x:v>538848.5135699817</x:v>
      </x:c>
      <x:c r="G106" s="10" t="n">
        <x:f>ABS(D106)</x:f>
        <x:v>734.0630174378639</x:v>
      </x:c>
      <x:c r="H106" s="10" t="n">
        <x:f>(B106-E106)^2</x:f>
        <x:v>65133010.60250626</x:v>
      </x:c>
    </x:row>
    <x:row r="107" ht="23" customHeight="1">
      <x:c r="A107" s="12" t="n">
        <x:v>10209</x:v>
      </x:c>
      <x:c r="B107" s="8" t="n">
        <x:v>8593.7</x:v>
      </x:c>
      <x:c r="C107" s="8" t="n">
        <x:v>7692.674360299719</x:v>
      </x:c>
      <x:c r="D107" s="8" t="n">
        <x:f>B107-C107</x:f>
        <x:v>901.0256397002813</x:v>
      </x:c>
      <x:c r="E107" s="8" t="n">
        <x:v>16235.797499999999</x:v>
      </x:c>
      <x:c r="F107" s="8" t="n">
        <x:f>D107^2</x:f>
        <x:v>811847.2033973011</x:v>
      </x:c>
      <x:c r="G107" s="8" t="n">
        <x:f>ABS(D107)</x:f>
        <x:v>901.0256397002813</x:v>
      </x:c>
      <x:c r="H107" s="8" t="n">
        <x:f>(B107-E107)^2</x:f>
        <x:v>58401654.19950622</x:v>
      </x:c>
    </x:row>
    <x:row r="108" ht="23" customHeight="1">
      <x:c r="A108" s="11" t="n">
        <x:v>10749</x:v>
      </x:c>
      <x:c r="B108" s="10" t="n">
        <x:v>25989.3</x:v>
      </x:c>
      <x:c r="C108" s="10" t="n">
        <x:v>25829.643166969345</x:v>
      </x:c>
      <x:c r="D108" s="10" t="n">
        <x:f>B108-C108</x:f>
        <x:v>159.65683303065452</x:v>
      </x:c>
      <x:c r="E108" s="10" t="n">
        <x:v>16235.797499999999</x:v>
      </x:c>
      <x:c r="F108" s="10" t="n">
        <x:f>D108^2</x:f>
        <x:v>25490.3043333783</x:v>
      </x:c>
      <x:c r="G108" s="10" t="n">
        <x:f>ABS(D108)</x:f>
        <x:v>159.65683303065452</x:v>
      </x:c>
      <x:c r="H108" s="10" t="n">
        <x:f>(B108-E108)^2</x:f>
        <x:v>95130811.01750626</x:v>
      </x:c>
    </x:row>
    <x:row r="109" ht="23" customHeight="1">
      <x:c r="A109" s="12" t="n">
        <x:v>10050</x:v>
      </x:c>
      <x:c r="B109" s="8" t="n">
        <x:v>12048.1</x:v>
      </x:c>
      <x:c r="C109" s="8" t="n">
        <x:v>11331.935577099273</x:v>
      </x:c>
      <x:c r="D109" s="8" t="n">
        <x:f>B109-C109</x:f>
        <x:v>716.164422900727</x:v>
      </x:c>
      <x:c r="E109" s="8" t="n">
        <x:v>16235.797499999999</x:v>
      </x:c>
      <x:c r="F109" s="8" t="n">
        <x:f>D109^2</x:f>
        <x:v>512891.48062873137</x:v>
      </x:c>
      <x:c r="G109" s="8" t="n">
        <x:f>ABS(D109)</x:f>
        <x:v>716.164422900727</x:v>
      </x:c>
      <x:c r="H109" s="8" t="n">
        <x:f>(B109-E109)^2</x:f>
        <x:v>17536810.351506237</x:v>
      </x:c>
    </x:row>
    <x:row r="110" ht="23" customHeight="1">
      <x:c r="A110" s="11" t="n">
        <x:v>10182</x:v>
      </x:c>
      <x:c r="B110" s="10" t="n">
        <x:v>6713.1</x:v>
      </x:c>
      <x:c r="C110" s="10" t="n">
        <x:v>7058.693910148668</x:v>
      </x:c>
      <x:c r="D110" s="10" t="n">
        <x:f>B110-C110</x:f>
        <x:v>-345.5939101486674</x:v>
      </x:c>
      <x:c r="E110" s="10" t="n">
        <x:v>16235.797499999999</x:v>
      </x:c>
      <x:c r="F110" s="10" t="n">
        <x:f>D110^2</x:f>
        <x:v>119435.1507318452</x:v>
      </x:c>
      <x:c r="G110" s="10" t="n">
        <x:f>ABS(D110)</x:f>
        <x:v>345.5939101486674</x:v>
      </x:c>
      <x:c r="H110" s="10" t="n">
        <x:f>(B110-E110)^2</x:f>
        <x:v>90681767.67650622</x:v>
      </x:c>
    </x:row>
    <x:row r="111" ht="23" customHeight="1">
      <x:c r="A111" s="12" t="n">
        <x:v>10611</x:v>
      </x:c>
      <x:c r="B111" s="8" t="n">
        <x:v>5517.7</x:v>
      </x:c>
      <x:c r="C111" s="8" t="n">
        <x:v>5436.138784468985</x:v>
      </x:c>
      <x:c r="D111" s="8" t="n">
        <x:f>B111-C111</x:f>
        <x:v>81.56121553101457</x:v>
      </x:c>
      <x:c r="E111" s="8" t="n">
        <x:v>16235.797499999999</x:v>
      </x:c>
      <x:c r="F111" s="8" t="n">
        <x:f>D111^2</x:f>
        <x:v>6652.231878896612</x:v>
      </x:c>
      <x:c r="G111" s="8" t="n">
        <x:f>ABS(D111)</x:f>
        <x:v>81.56121553101457</x:v>
      </x:c>
      <x:c r="H111" s="8" t="n">
        <x:f>(B111-E111)^2</x:f>
        <x:v>114877614.01950625</x:v>
      </x:c>
    </x:row>
    <x:row r="112" ht="23" customHeight="1">
      <x:c r="A112" s="11" t="n">
        <x:v>10690</x:v>
      </x:c>
      <x:c r="B112" s="10" t="n">
        <x:v>10076.7</x:v>
      </x:c>
      <x:c r="C112" s="10" t="n">
        <x:v>9717.567311973382</x:v>
      </x:c>
      <x:c r="D112" s="10" t="n">
        <x:f>B112-C112</x:f>
        <x:v>359.1326880266188</x:v>
      </x:c>
      <x:c r="E112" s="10" t="n">
        <x:v>16235.797499999999</x:v>
      </x:c>
      <x:c r="F112" s="10" t="n">
        <x:f>D112^2</x:f>
        <x:v>128976.28760922469</x:v>
      </x:c>
      <x:c r="G112" s="10" t="n">
        <x:f>ABS(D112)</x:f>
        <x:v>359.1326880266188</x:v>
      </x:c>
      <x:c r="H112" s="10" t="n">
        <x:f>(B112-E112)^2</x:f>
        <x:v>37934482.01450623</x:v>
      </x:c>
    </x:row>
    <x:row r="113" ht="23" customHeight="1">
      <x:c r="A113" s="12" t="n">
        <x:v>10011</x:v>
      </x:c>
      <x:c r="B113" s="8" t="n">
        <x:v>4814.1</x:v>
      </x:c>
      <x:c r="C113" s="8" t="n">
        <x:v>4210.243520437281</x:v>
      </x:c>
      <x:c r="D113" s="8" t="n">
        <x:f>B113-C113</x:f>
        <x:v>603.856479562719</x:v>
      </x:c>
      <x:c r="E113" s="8" t="n">
        <x:v>16235.797499999999</x:v>
      </x:c>
      <x:c r="F113" s="8" t="n">
        <x:f>D113^2</x:f>
        <x:v>364642.64790988044</x:v>
      </x:c>
      <x:c r="G113" s="8" t="n">
        <x:f>ABS(D113)</x:f>
        <x:v>603.856479562719</x:v>
      </x:c>
      <x:c r="H113" s="8" t="n">
        <x:f>(B113-E113)^2</x:f>
        <x:v>130455173.78150621</x:v>
      </x:c>
    </x:row>
    <x:row r="114" ht="23" customHeight="1">
      <x:c r="A114" s="11" t="n">
        <x:v>10527</x:v>
      </x:c>
      <x:c r="B114" s="10" t="n">
        <x:v>12157.9</x:v>
      </x:c>
      <x:c r="C114" s="10" t="n">
        <x:v>12069.855248633578</x:v>
      </x:c>
      <x:c r="D114" s="10" t="n">
        <x:f>B114-C114</x:f>
        <x:v>88.04475136642213</x:v>
      </x:c>
      <x:c r="E114" s="10" t="n">
        <x:v>16235.797499999999</x:v>
      </x:c>
      <x:c r="F114" s="10" t="n">
        <x:f>D114^2</x:f>
        <x:v>7751.878243175092</x:v>
      </x:c>
      <x:c r="G114" s="10" t="n">
        <x:f>ABS(D114)</x:f>
        <x:v>88.04475136642213</x:v>
      </x:c>
      <x:c r="H114" s="10" t="n">
        <x:f>(B114-E114)^2</x:f>
        <x:v>16629248.020506242</x:v>
      </x:c>
    </x:row>
    <x:row r="115" ht="23" customHeight="1">
      <x:c r="A115" s="12" t="n">
        <x:v>10197</x:v>
      </x:c>
      <x:c r="B115" s="8" t="n">
        <x:v>21323.7</x:v>
      </x:c>
      <x:c r="C115" s="8" t="n">
        <x:v>20203.73440870671</x:v>
      </x:c>
      <x:c r="D115" s="8" t="n">
        <x:f>B115-C115</x:f>
        <x:v>1119.9655912932903</x:v>
      </x:c>
      <x:c r="E115" s="8" t="n">
        <x:v>16235.797499999999</x:v>
      </x:c>
      <x:c r="F115" s="8" t="n">
        <x:f>D115^2</x:f>
        <x:v>1254322.9256809296</x:v>
      </x:c>
      <x:c r="G115" s="8" t="n">
        <x:f>ABS(D115)</x:f>
        <x:v>1119.9655912932903</x:v>
      </x:c>
      <x:c r="H115" s="8" t="n">
        <x:f>(B115-E115)^2</x:f>
        <x:v>25886751.84950627</x:v>
      </x:c>
    </x:row>
    <x:row r="116" ht="23" customHeight="1">
      <x:c r="A116" s="11" t="n">
        <x:v>10282</x:v>
      </x:c>
      <x:c r="B116" s="10" t="n">
        <x:v>10156.5</x:v>
      </x:c>
      <x:c r="C116" s="10" t="n">
        <x:v>10486.374320203184</x:v>
      </x:c>
      <x:c r="D116" s="10" t="n">
        <x:f>B116-C116</x:f>
        <x:v>-329.87432020318374</x:v>
      </x:c>
      <x:c r="E116" s="10" t="n">
        <x:v>16235.797499999999</x:v>
      </x:c>
      <x:c r="F116" s="10" t="n">
        <x:f>D116^2</x:f>
        <x:v>108817.0671295126</x:v>
      </x:c>
      <x:c r="G116" s="10" t="n">
        <x:f>ABS(D116)</x:f>
        <x:v>329.87432020318374</x:v>
      </x:c>
      <x:c r="H116" s="10" t="n">
        <x:f>(B116-E116)^2</x:f>
        <x:v>36957858.09350623</x:v>
      </x:c>
    </x:row>
    <x:row r="117" ht="23" customHeight="1">
      <x:c r="A117" s="12" t="n">
        <x:v>10569</x:v>
      </x:c>
      <x:c r="B117" s="8" t="n">
        <x:v>24099.3</x:v>
      </x:c>
      <x:c r="C117" s="8" t="n">
        <x:v>24579.01738957646</x:v>
      </x:c>
      <x:c r="D117" s="8" t="n">
        <x:f>B117-C117</x:f>
        <x:v>-479.71738957646085</x:v>
      </x:c>
      <x:c r="E117" s="8" t="n">
        <x:v>16235.797499999999</x:v>
      </x:c>
      <x:c r="F117" s="8" t="n">
        <x:f>D117^2</x:f>
        <x:v>230128.7738620539</x:v>
      </x:c>
      <x:c r="G117" s="8" t="n">
        <x:f>ABS(D117)</x:f>
        <x:v>479.71738957646085</x:v>
      </x:c>
      <x:c r="H117" s="8" t="n">
        <x:f>(B117-E117)^2</x:f>
        <x:v>61834671.56750626</x:v>
      </x:c>
    </x:row>
    <x:row r="118" ht="23" customHeight="1">
      <x:c r="A118" s="11" t="n">
        <x:v>10731</x:v>
      </x:c>
      <x:c r="B118" s="10" t="n">
        <x:v>9560.3</x:v>
      </x:c>
      <x:c r="C118" s="10" t="n">
        <x:v>9555.128701282565</x:v>
      </x:c>
      <x:c r="D118" s="10" t="n">
        <x:f>B118-C118</x:f>
        <x:v>5.171298717434183</x:v>
      </x:c>
      <x:c r="E118" s="10" t="n">
        <x:v>16235.797499999999</x:v>
      </x:c>
      <x:c r="F118" s="10" t="n">
        <x:f>D118^2</x:f>
        <x:v>26.74233042493643</x:v>
      </x:c>
      <x:c r="G118" s="10" t="n">
        <x:f>ABS(D118)</x:f>
        <x:v>5.171298717434183</x:v>
      </x:c>
      <x:c r="H118" s="10" t="n">
        <x:f>(B118-E118)^2</x:f>
        <x:v>44562266.872506246</x:v>
      </x:c>
    </x:row>
    <x:row r="119" ht="23" customHeight="1">
      <x:c r="A119" s="12" t="n">
        <x:v>10739</x:v>
      </x:c>
      <x:c r="B119" s="8" t="n">
        <x:v>13976.8</x:v>
      </x:c>
      <x:c r="C119" s="8" t="n">
        <x:v>14479.452908253825</x:v>
      </x:c>
      <x:c r="D119" s="8" t="n">
        <x:f>B119-C119</x:f>
        <x:v>-502.65290825382544</x:v>
      </x:c>
      <x:c r="E119" s="8" t="n">
        <x:v>16235.797499999999</x:v>
      </x:c>
      <x:c r="F119" s="8" t="n">
        <x:f>D119^2</x:f>
        <x:v>252659.94617602866</x:v>
      </x:c>
      <x:c r="G119" s="8" t="n">
        <x:f>ABS(D119)</x:f>
        <x:v>502.65290825382544</x:v>
      </x:c>
      <x:c r="H119" s="8" t="n">
        <x:f>(B119-E119)^2</x:f>
        <x:v>5103069.705006247</x:v>
      </x:c>
    </x:row>
    <x:row r="120" ht="23" customHeight="1">
      <x:c r="A120" s="11" t="n">
        <x:v>10796</x:v>
      </x:c>
      <x:c r="B120" s="10" t="n">
        <x:v>24264.4</x:v>
      </x:c>
      <x:c r="C120" s="10" t="n">
        <x:v>24817.171939363026</x:v>
      </x:c>
      <x:c r="D120" s="10" t="n">
        <x:f>B120-C120</x:f>
        <x:v>-552.771939363025</x:v>
      </x:c>
      <x:c r="E120" s="10" t="n">
        <x:v>16235.797499999999</x:v>
      </x:c>
      <x:c r="F120" s="10" t="n">
        <x:f>D120^2</x:f>
        <x:v>305556.8169471598</x:v>
      </x:c>
      <x:c r="G120" s="10" t="n">
        <x:f>ABS(D120)</x:f>
        <x:v>552.771939363025</x:v>
      </x:c>
      <x:c r="H120" s="10" t="n">
        <x:f>(B120-E120)^2</x:f>
        <x:v>64458458.103006296</x:v>
      </x:c>
    </x:row>
    <x:row r="121" ht="23" customHeight="1">
      <x:c r="A121" s="12" t="n">
        <x:v>10706</x:v>
      </x:c>
      <x:c r="B121" s="8" t="n">
        <x:v>24931.4</x:v>
      </x:c>
      <x:c r="C121" s="8" t="n">
        <x:v>25045.630535975688</x:v>
      </x:c>
      <x:c r="D121" s="8" t="n">
        <x:f>B121-C121</x:f>
        <x:v>-114.23053597568651</x:v>
      </x:c>
      <x:c r="E121" s="8" t="n">
        <x:v>16235.797499999999</x:v>
      </x:c>
      <x:c r="F121" s="8" t="n">
        <x:f>D121^2</x:f>
        <x:v>13048.61534929261</x:v>
      </x:c>
      <x:c r="G121" s="8" t="n">
        <x:f>ABS(D121)</x:f>
        <x:v>114.23053597568651</x:v>
      </x:c>
      <x:c r="H121" s="8" t="n">
        <x:f>(B121-E121)^2</x:f>
        <x:v>75613502.8380063</x:v>
      </x:c>
    </x:row>
    <x:row r="122" ht="23" customHeight="1">
      <x:c r="A122" s="11" t="n">
        <x:v>10396</x:v>
      </x:c>
      <x:c r="B122" s="10" t="n">
        <x:v>22717.2</x:v>
      </x:c>
      <x:c r="C122" s="10" t="n">
        <x:v>22715.327908892094</x:v>
      </x:c>
      <x:c r="D122" s="10" t="n">
        <x:f>B122-C122</x:f>
        <x:v>1.8720911079071811</x:v>
      </x:c>
      <x:c r="E122" s="10" t="n">
        <x:v>16235.797499999999</x:v>
      </x:c>
      <x:c r="F122" s="10" t="n">
        <x:f>D122^2</x:f>
        <x:v>3.5047251163051367</x:v>
      </x:c>
      <x:c r="G122" s="10" t="n">
        <x:f>ABS(D122)</x:f>
        <x:v>1.8720911079071811</x:v>
      </x:c>
      <x:c r="H122" s="10" t="n">
        <x:f>(B122-E122)^2</x:f>
        <x:v>42008578.36700627</x:v>
      </x:c>
    </x:row>
    <x:row r="123" ht="23" customHeight="1">
      <x:c r="A123" s="12" t="n">
        <x:v>10516</x:v>
      </x:c>
      <x:c r="B123" s="8" t="n">
        <x:v>6872.2</x:v>
      </x:c>
      <x:c r="C123" s="8" t="n">
        <x:v>6193.82721485251</x:v>
      </x:c>
      <x:c r="D123" s="8" t="n">
        <x:f>B123-C123</x:f>
        <x:v>678.3727851474896</x:v>
      </x:c>
      <x:c r="E123" s="8" t="n">
        <x:v>16235.797499999999</x:v>
      </x:c>
      <x:c r="F123" s="8" t="n">
        <x:f>D123^2</x:f>
        <x:v>460189.6356287621</x:v>
      </x:c>
      <x:c r="G123" s="8" t="n">
        <x:f>ABS(D123)</x:f>
        <x:v>678.3727851474896</x:v>
      </x:c>
      <x:c r="H123" s="8" t="n">
        <x:f>(B123-E123)^2</x:f>
        <x:v>87676958.14200625</x:v>
      </x:c>
    </x:row>
    <x:row r="124" ht="23" customHeight="1">
      <x:c r="A124" s="11" t="n">
        <x:v>10066</x:v>
      </x:c>
      <x:c r="B124" s="10" t="n">
        <x:v>15384.6</x:v>
      </x:c>
      <x:c r="C124" s="10" t="n">
        <x:v>15996.206964847253</x:v>
      </x:c>
      <x:c r="D124" s="10" t="n">
        <x:f>B124-C124</x:f>
        <x:v>-611.606964847253</x:v>
      </x:c>
      <x:c r="E124" s="10" t="n">
        <x:v>16235.797499999999</x:v>
      </x:c>
      <x:c r="F124" s="10" t="n">
        <x:f>D124^2</x:f>
        <x:v>374063.079449669</x:v>
      </x:c>
      <x:c r="G124" s="10" t="n">
        <x:f>ABS(D124)</x:f>
        <x:v>611.606964847253</x:v>
      </x:c>
      <x:c r="H124" s="10" t="n">
        <x:f>(B124-E124)^2</x:f>
        <x:v>724537.1840062473</x:v>
      </x:c>
    </x:row>
    <x:row r="125" ht="23" customHeight="1">
      <x:c r="A125" s="12" t="n">
        <x:v>10674</x:v>
      </x:c>
      <x:c r="B125" s="8" t="n">
        <x:v>14323.1</x:v>
      </x:c>
      <x:c r="C125" s="8" t="n">
        <x:v>14545.145564832383</x:v>
      </x:c>
      <x:c r="D125" s="8" t="n">
        <x:f>B125-C125</x:f>
        <x:v>-222.0455648323823</x:v>
      </x:c>
      <x:c r="E125" s="8" t="n">
        <x:v>16235.797499999999</x:v>
      </x:c>
      <x:c r="F125" s="8" t="n">
        <x:f>D125^2</x:f>
        <x:v>49304.23286173169</x:v>
      </x:c>
      <x:c r="G125" s="8" t="n">
        <x:f>ABS(D125)</x:f>
        <x:v>222.0455648323823</x:v>
      </x:c>
      <x:c r="H125" s="8" t="n">
        <x:f>(B125-E125)^2</x:f>
        <x:v>3658411.726506244</x:v>
      </x:c>
    </x:row>
    <x:row r="126" ht="23" customHeight="1">
      <x:c r="A126" s="11" t="n">
        <x:v>10087</x:v>
      </x:c>
      <x:c r="B126" s="10" t="n">
        <x:v>20509</x:v>
      </x:c>
      <x:c r="C126" s="10" t="n">
        <x:v>20664.04082692637</x:v>
      </x:c>
      <x:c r="D126" s="10" t="n">
        <x:f>B126-C126</x:f>
        <x:v>-155.04082692637166</x:v>
      </x:c>
      <x:c r="E126" s="10" t="n">
        <x:v>16235.797499999999</x:v>
      </x:c>
      <x:c r="F126" s="10" t="n">
        <x:f>D126^2</x:f>
        <x:v>24037.658014013134</x:v>
      </x:c>
      <x:c r="G126" s="10" t="n">
        <x:f>ABS(D126)</x:f>
        <x:v>155.04082692637166</x:v>
      </x:c>
      <x:c r="H126" s="10" t="n">
        <x:f>(B126-E126)^2</x:f>
        <x:v>18260259.60600626</x:v>
      </x:c>
    </x:row>
    <x:row r="127" ht="23" customHeight="1">
      <x:c r="A127" s="12" t="n">
        <x:v>10755</x:v>
      </x:c>
      <x:c r="B127" s="8" t="n">
        <x:v>9194.4</x:v>
      </x:c>
      <x:c r="C127" s="8" t="n">
        <x:v>9852.450035794445</x:v>
      </x:c>
      <x:c r="D127" s="8" t="n">
        <x:f>B127-C127</x:f>
        <x:v>-658.0500357944456</x:v>
      </x:c>
      <x:c r="E127" s="8" t="n">
        <x:v>16235.797499999999</x:v>
      </x:c>
      <x:c r="F127" s="8" t="n">
        <x:f>D127^2</x:f>
        <x:v>433029.8496090712</x:v>
      </x:c>
      <x:c r="G127" s="8" t="n">
        <x:f>ABS(D127)</x:f>
        <x:v>658.0500357944456</x:v>
      </x:c>
      <x:c r="H127" s="8" t="n">
        <x:f>(B127-E127)^2</x:f>
        <x:v>49581278.753006235</x:v>
      </x:c>
    </x:row>
    <x:row r="128" ht="23" customHeight="1">
      <x:c r="A128" s="11" t="n">
        <x:v>10529</x:v>
      </x:c>
      <x:c r="B128" s="10" t="n">
        <x:v>7324.6</x:v>
      </x:c>
      <x:c r="C128" s="10" t="n">
        <x:v>7318.674429629875</x:v>
      </x:c>
      <x:c r="D128" s="10" t="n">
        <x:f>B128-C128</x:f>
        <x:v>5.92557037012557</x:v>
      </x:c>
      <x:c r="E128" s="10" t="n">
        <x:v>16235.797499999999</x:v>
      </x:c>
      <x:c r="F128" s="10" t="n">
        <x:f>D128^2</x:f>
        <x:v>35.11238421131008</x:v>
      </x:c>
      <x:c r="G128" s="10" t="n">
        <x:f>ABS(D128)</x:f>
        <x:v>5.92557037012557</x:v>
      </x:c>
      <x:c r="H128" s="10" t="n">
        <x:f>(B128-E128)^2</x:f>
        <x:v>79409440.88400622</x:v>
      </x:c>
    </x:row>
    <x:row r="129" ht="23" customHeight="1">
      <x:c r="A129" s="12" t="n">
        <x:v>10358</x:v>
      </x:c>
      <x:c r="B129" s="8" t="n">
        <x:v>19560.7</x:v>
      </x:c>
      <x:c r="C129" s="8" t="n">
        <x:v>19913.62522547457</x:v>
      </x:c>
      <x:c r="D129" s="8" t="n">
        <x:f>B129-C129</x:f>
        <x:v>-352.92522547456974</x:v>
      </x:c>
      <x:c r="E129" s="8" t="n">
        <x:v>16235.797499999999</x:v>
      </x:c>
      <x:c r="F129" s="8" t="n">
        <x:f>D129^2</x:f>
        <x:v>124556.2147762759</x:v>
      </x:c>
      <x:c r="G129" s="8" t="n">
        <x:f>ABS(D129)</x:f>
        <x:v>352.92522547456974</x:v>
      </x:c>
      <x:c r="H129" s="8" t="n">
        <x:f>(B129-E129)^2</x:f>
        <x:v>11054976.634506263</x:v>
      </x:c>
    </x:row>
    <x:row r="130" ht="23" customHeight="1">
      <x:c r="A130" s="11" t="n">
        <x:v>10333</x:v>
      </x:c>
      <x:c r="B130" s="10" t="n">
        <x:v>5441.4</x:v>
      </x:c>
      <x:c r="C130" s="10" t="n">
        <x:v>4880.260282009414</x:v>
      </x:c>
      <x:c r="D130" s="10" t="n">
        <x:f>B130-C130</x:f>
        <x:v>561.1397179905853</x:v>
      </x:c>
      <x:c r="E130" s="10" t="n">
        <x:v>16235.797499999999</x:v>
      </x:c>
      <x:c r="F130" s="10" t="n">
        <x:f>D130^2</x:f>
        <x:v>314877.78310655354</x:v>
      </x:c>
      <x:c r="G130" s="10" t="n">
        <x:f>ABS(D130)</x:f>
        <x:v>561.1397179905853</x:v>
      </x:c>
      <x:c r="H130" s="10" t="n">
        <x:f>(B130-E130)^2</x:f>
        <x:v>116519017.38800623</x:v>
      </x:c>
    </x:row>
    <x:row r="131" ht="23" customHeight="1">
      <x:c r="A131" s="12" t="n">
        <x:v>10399</x:v>
      </x:c>
      <x:c r="B131" s="8" t="n">
        <x:v>21215.3</x:v>
      </x:c>
      <x:c r="C131" s="8" t="n">
        <x:v>21453.99607133211</x:v>
      </x:c>
      <x:c r="D131" s="8" t="n">
        <x:f>B131-C131</x:f>
        <x:v>-238.69607133210957</x:v>
      </x:c>
      <x:c r="E131" s="8" t="n">
        <x:v>16235.797499999999</x:v>
      </x:c>
      <x:c r="F131" s="8" t="n">
        <x:f>D131^2</x:f>
        <x:v>56975.81446938354</x:v>
      </x:c>
      <x:c r="G131" s="8" t="n">
        <x:f>ABS(D131)</x:f>
        <x:v>238.69607133210957</x:v>
      </x:c>
      <x:c r="H131" s="8" t="n">
        <x:f>(B131-E131)^2</x:f>
        <x:v>24795445.147506256</x:v>
      </x:c>
    </x:row>
    <x:row r="132" ht="23" customHeight="1">
      <x:c r="A132" s="11" t="n">
        <x:v>10592</x:v>
      </x:c>
      <x:c r="B132" s="10" t="n">
        <x:v>18617.4</x:v>
      </x:c>
      <x:c r="C132" s="10" t="n">
        <x:v>18997.46347767836</x:v>
      </x:c>
      <x:c r="D132" s="10" t="n">
        <x:f>B132-C132</x:f>
        <x:v>-380.06347767835905</x:v>
      </x:c>
      <x:c r="E132" s="10" t="n">
        <x:v>16235.797499999999</x:v>
      </x:c>
      <x:c r="F132" s="10" t="n">
        <x:f>D132^2</x:f>
        <x:v>144448.24706496854</x:v>
      </x:c>
      <x:c r="G132" s="10" t="n">
        <x:f>ABS(D132)</x:f>
        <x:v>380.06347767835905</x:v>
      </x:c>
      <x:c r="H132" s="10" t="n">
        <x:f>(B132-E132)^2</x:f>
        <x:v>5672030.468006263</x:v>
      </x:c>
    </x:row>
    <x:row r="133" ht="23" customHeight="1">
      <x:c r="A133" s="12" t="n">
        <x:v>10245</x:v>
      </x:c>
      <x:c r="B133" s="8" t="n">
        <x:v>5337.4</x:v>
      </x:c>
      <x:c r="C133" s="8" t="n">
        <x:v>5939.4415085300625</x:v>
      </x:c>
      <x:c r="D133" s="8" t="n">
        <x:f>B133-C133</x:f>
        <x:v>-602.0415085300629</x:v>
      </x:c>
      <x:c r="E133" s="8" t="n">
        <x:v>16235.797499999999</x:v>
      </x:c>
      <x:c r="F133" s="8" t="n">
        <x:f>D133^2</x:f>
        <x:v>362453.97799315373</x:v>
      </x:c>
      <x:c r="G133" s="8" t="n">
        <x:f>ABS(D133)</x:f>
        <x:v>602.0415085300629</x:v>
      </x:c>
      <x:c r="H133" s="8" t="n">
        <x:f>(B133-E133)^2</x:f>
        <x:v>118775068.06800623</x:v>
      </x:c>
    </x:row>
    <x:row r="134" ht="23" customHeight="1">
      <x:c r="A134" s="11" t="n">
        <x:v>10756</x:v>
      </x:c>
      <x:c r="B134" s="10" t="n">
        <x:v>20556.6</x:v>
      </x:c>
      <x:c r="C134" s="10" t="n">
        <x:v>20419.38257268741</x:v>
      </x:c>
      <x:c r="D134" s="10" t="n">
        <x:f>B134-C134</x:f>
        <x:v>137.21742731258928</x:v>
      </x:c>
      <x:c r="E134" s="10" t="n">
        <x:v>16235.797499999999</x:v>
      </x:c>
      <x:c r="F134" s="10" t="n">
        <x:f>D134^2</x:f>
        <x:v>18828.622358285724</x:v>
      </x:c>
      <x:c r="G134" s="10" t="n">
        <x:f>ABS(D134)</x:f>
        <x:v>137.21742731258928</x:v>
      </x:c>
      <x:c r="H134" s="10" t="n">
        <x:f>(B134-E134)^2</x:f>
        <x:v>18669334.244006246</x:v>
      </x:c>
    </x:row>
    <x:row r="135" ht="23" customHeight="1">
      <x:c r="A135" s="12" t="n">
        <x:v>10788</x:v>
      </x:c>
      <x:c r="B135" s="8" t="n">
        <x:v>14888.1</x:v>
      </x:c>
      <x:c r="C135" s="8" t="n">
        <x:v>14253.957084149051</x:v>
      </x:c>
      <x:c r="D135" s="8" t="n">
        <x:f>B135-C135</x:f>
        <x:v>634.1429158509491</x:v>
      </x:c>
      <x:c r="E135" s="8" t="n">
        <x:v>16235.797499999999</x:v>
      </x:c>
      <x:c r="F135" s="8" t="n">
        <x:f>D135^2</x:f>
        <x:v>402137.2377239439</x:v>
      </x:c>
      <x:c r="G135" s="8" t="n">
        <x:f>ABS(D135)</x:f>
        <x:v>634.1429158509491</x:v>
      </x:c>
      <x:c r="H135" s="8" t="n">
        <x:f>(B135-E135)^2</x:f>
        <x:v>1816288.5515062457</x:v>
      </x:c>
    </x:row>
    <x:row r="136" ht="23" customHeight="1">
      <x:c r="A136" s="11" t="n">
        <x:v>10025</x:v>
      </x:c>
      <x:c r="B136" s="10" t="n">
        <x:v>16431.3</x:v>
      </x:c>
      <x:c r="C136" s="10" t="n">
        <x:v>16324.255702896713</x:v>
      </x:c>
      <x:c r="D136" s="10" t="n">
        <x:f>B136-C136</x:f>
        <x:v>107.04429710328623</x:v>
      </x:c>
      <x:c r="E136" s="10" t="n">
        <x:v>16235.797499999999</x:v>
      </x:c>
      <x:c r="F136" s="10" t="n">
        <x:f>D136^2</x:f>
        <x:v>11458.481542336613</x:v>
      </x:c>
      <x:c r="G136" s="10" t="n">
        <x:f>ABS(D136)</x:f>
        <x:v>107.04429710328623</x:v>
      </x:c>
      <x:c r="H136" s="10" t="n">
        <x:f>(B136-E136)^2</x:f>
        <x:v>38221.2275062502</x:v>
      </x:c>
    </x:row>
    <x:row r="137" ht="23" customHeight="1">
      <x:c r="A137" s="12" t="n">
        <x:v>10345</x:v>
      </x:c>
      <x:c r="B137" s="8" t="n">
        <x:v>13854.7</x:v>
      </x:c>
      <x:c r="C137" s="8" t="n">
        <x:v>13237.752070066348</x:v>
      </x:c>
      <x:c r="D137" s="8" t="n">
        <x:f>B137-C137</x:f>
        <x:v>616.9479299336526</x:v>
      </x:c>
      <x:c r="E137" s="8" t="n">
        <x:v>16235.797499999999</x:v>
      </x:c>
      <x:c r="F137" s="8" t="n">
        <x:f>D137^2</x:f>
        <x:v>380624.74824941915</x:v>
      </x:c>
      <x:c r="G137" s="8" t="n">
        <x:f>ABS(D137)</x:f>
        <x:v>616.9479299336526</x:v>
      </x:c>
      <x:c r="H137" s="8" t="n">
        <x:f>(B137-E137)^2</x:f>
        <x:v>5669625.30450624</x:v>
      </x:c>
    </x:row>
    <x:row r="138" ht="23" customHeight="1">
      <x:c r="A138" s="11" t="n">
        <x:v>10255</x:v>
      </x:c>
      <x:c r="B138" s="10" t="n">
        <x:v>8321.1</x:v>
      </x:c>
      <x:c r="C138" s="10" t="n">
        <x:v>8439.664897921943</x:v>
      </x:c>
      <x:c r="D138" s="10" t="n">
        <x:f>B138-C138</x:f>
        <x:v>-118.56489792194225</x:v>
      </x:c>
      <x:c r="E138" s="10" t="n">
        <x:v>16235.797499999999</x:v>
      </x:c>
      <x:c r="F138" s="10" t="n">
        <x:f>D138^2</x:f>
        <x:v>14057.635019240584</x:v>
      </x:c>
      <x:c r="G138" s="10" t="n">
        <x:f>ABS(D138)</x:f>
        <x:v>118.56489792194225</x:v>
      </x:c>
      <x:c r="H138" s="10" t="n">
        <x:f>(B138-E138)^2</x:f>
        <x:v>62642436.516506225</x:v>
      </x:c>
    </x:row>
    <x:row r="139" ht="23" customHeight="1">
      <x:c r="A139" s="12" t="n">
        <x:v>10395</x:v>
      </x:c>
      <x:c r="B139" s="8" t="n">
        <x:v>13554.3</x:v>
      </x:c>
      <x:c r="C139" s="8" t="n">
        <x:v>13152.818312609064</x:v>
      </x:c>
      <x:c r="D139" s="8" t="n">
        <x:f>B139-C139</x:f>
        <x:v>401.4816873909349</x:v>
      </x:c>
      <x:c r="E139" s="8" t="n">
        <x:v>16235.797499999999</x:v>
      </x:c>
      <x:c r="F139" s="8" t="n">
        <x:f>D139^2</x:f>
        <x:v>161187.54531027237</x:v>
      </x:c>
      <x:c r="G139" s="8" t="n">
        <x:f>ABS(D139)</x:f>
        <x:v>401.4816873909349</x:v>
      </x:c>
      <x:c r="H139" s="8" t="n">
        <x:f>(B139-E139)^2</x:f>
        <x:v>7190428.842506248</x:v>
      </x:c>
    </x:row>
    <x:row r="140" ht="23" customHeight="1">
      <x:c r="A140" s="11" t="n">
        <x:v>10787</x:v>
      </x:c>
      <x:c r="B140" s="10" t="n">
        <x:v>18481.4</x:v>
      </x:c>
      <x:c r="C140" s="10" t="n">
        <x:v>18010.714014707806</x:v>
      </x:c>
      <x:c r="D140" s="10" t="n">
        <x:f>B140-C140</x:f>
        <x:v>470.68598529219526</x:v>
      </x:c>
      <x:c r="E140" s="10" t="n">
        <x:v>16235.797499999999</x:v>
      </x:c>
      <x:c r="F140" s="10" t="n">
        <x:f>D140^2</x:f>
        <x:v>221545.29675048465</x:v>
      </x:c>
      <x:c r="G140" s="10" t="n">
        <x:f>ABS(D140)</x:f>
        <x:v>470.68598529219526</x:v>
      </x:c>
      <x:c r="H140" s="10" t="n">
        <x:f>(B140-E140)^2</x:f>
        <x:v>5042730.588006262</x:v>
      </x:c>
    </x:row>
    <x:row r="141" ht="23" customHeight="1">
      <x:c r="A141" s="12" t="n">
        <x:v>10576</x:v>
      </x:c>
      <x:c r="B141" s="8" t="n">
        <x:v>24617.6</x:v>
      </x:c>
      <x:c r="C141" s="8" t="n">
        <x:v>24542.829700076596</x:v>
      </x:c>
      <x:c r="D141" s="8" t="n">
        <x:f>B141-C141</x:f>
        <x:v>74.77029992340249</x:v>
      </x:c>
      <x:c r="E141" s="8" t="n">
        <x:v>16235.797499999999</x:v>
      </x:c>
      <x:c r="F141" s="8" t="n">
        <x:f>D141^2</x:f>
        <x:v>5590.597750635562</x:v>
      </x:c>
      <x:c r="G141" s="8" t="n">
        <x:f>ABS(D141)</x:f>
        <x:v>74.77029992340249</x:v>
      </x:c>
      <x:c r="H141" s="8" t="n">
        <x:f>(B141-E141)^2</x:f>
        <x:v>70254613.14900625</x:v>
      </x:c>
    </x:row>
    <x:row r="142" ht="23" customHeight="1">
      <x:c r="A142" s="11" t="n">
        <x:v>10008</x:v>
      </x:c>
      <x:c r="B142" s="10" t="n">
        <x:v>24087.3</x:v>
      </x:c>
      <x:c r="C142" s="10" t="n">
        <x:v>24178.400898023105</x:v>
      </x:c>
      <x:c r="D142" s="10" t="n">
        <x:f>B142-C142</x:f>
        <x:v>-91.1008980231054</x:v>
      </x:c>
      <x:c r="E142" s="10" t="n">
        <x:v>16235.797499999999</x:v>
      </x:c>
      <x:c r="F142" s="10" t="n">
        <x:f>D142^2</x:f>
        <x:v>8299.37362061625</x:v>
      </x:c>
      <x:c r="G142" s="10" t="n">
        <x:f>ABS(D142)</x:f>
        <x:v>91.1008980231054</x:v>
      </x:c>
      <x:c r="H142" s="10" t="n">
        <x:f>(B142-E142)^2</x:f>
        <x:v>61646091.50750626</x:v>
      </x:c>
    </x:row>
    <x:row r="143" ht="23" customHeight="1">
      <x:c r="A143" s="12" t="n">
        <x:v>10062</x:v>
      </x:c>
      <x:c r="B143" s="8" t="n">
        <x:v>10268.7</x:v>
      </x:c>
      <x:c r="C143" s="8" t="n">
        <x:v>10261.314088005818</x:v>
      </x:c>
      <x:c r="D143" s="8" t="n">
        <x:f>B143-C143</x:f>
        <x:v>7.385911994182607</x:v>
      </x:c>
      <x:c r="E143" s="8" t="n">
        <x:v>16235.797499999999</x:v>
      </x:c>
      <x:c r="F143" s="8" t="n">
        <x:f>D143^2</x:f>
        <x:v>54.55169598581049</x:v>
      </x:c>
      <x:c r="G143" s="8" t="n">
        <x:f>ABS(D143)</x:f>
        <x:v>7.385911994182607</x:v>
      </x:c>
      <x:c r="H143" s="8" t="n">
        <x:f>(B143-E143)^2</x:f>
        <x:v>35606252.57450622</x:v>
      </x:c>
    </x:row>
    <x:row r="144" ht="23" customHeight="1">
      <x:c r="A144" s="11" t="n">
        <x:v>10212</x:v>
      </x:c>
      <x:c r="B144" s="10" t="n">
        <x:v>20943.2</x:v>
      </x:c>
      <x:c r="C144" s="10" t="n">
        <x:v>20277.29059832541</x:v>
      </x:c>
      <x:c r="D144" s="10" t="n">
        <x:f>B144-C144</x:f>
        <x:v>665.9094016745912</x:v>
      </x:c>
      <x:c r="E144" s="10" t="n">
        <x:v>16235.797499999999</x:v>
      </x:c>
      <x:c r="F144" s="10" t="n">
        <x:f>D144^2</x:f>
        <x:v>443435.33123861207</x:v>
      </x:c>
      <x:c r="G144" s="10" t="n">
        <x:f>ABS(D144)</x:f>
        <x:v>665.9094016745912</x:v>
      </x:c>
      <x:c r="H144" s="10" t="n">
        <x:f>(B144-E144)^2</x:f>
        <x:v>22159638.297006268</x:v>
      </x:c>
    </x:row>
    <x:row r="145" ht="23" customHeight="1">
      <x:c r="A145" s="12" t="n">
        <x:v>10293</x:v>
      </x:c>
      <x:c r="B145" s="8" t="n">
        <x:v>21395.1</x:v>
      </x:c>
      <x:c r="C145" s="8" t="n">
        <x:v>21337.814496937965</x:v>
      </x:c>
      <x:c r="D145" s="8" t="n">
        <x:f>B145-C145</x:f>
        <x:v>57.28550306203397</x:v>
      </x:c>
      <x:c r="E145" s="8" t="n">
        <x:v>16235.797499999999</x:v>
      </x:c>
      <x:c r="F145" s="8" t="n">
        <x:f>D145^2</x:f>
        <x:v>3281.628861070303</x:v>
      </x:c>
      <x:c r="G145" s="8" t="n">
        <x:f>ABS(D145)</x:f>
        <x:v>57.28550306203397</x:v>
      </x:c>
      <x:c r="H145" s="8" t="n">
        <x:f>(B145-E145)^2</x:f>
        <x:v>26618402.286506247</x:v>
      </x:c>
    </x:row>
    <x:row r="146" ht="23" customHeight="1">
      <x:c r="A146" s="11" t="n">
        <x:v>10412</x:v>
      </x:c>
      <x:c r="B146" s="10" t="n">
        <x:v>25104.6</x:v>
      </x:c>
      <x:c r="C146" s="10" t="n">
        <x:v>25136.374557265874</x:v>
      </x:c>
      <x:c r="D146" s="10" t="n">
        <x:f>B146-C146</x:f>
        <x:v>-31.774557265875046</x:v>
      </x:c>
      <x:c r="E146" s="10" t="n">
        <x:v>16235.797499999999</x:v>
      </x:c>
      <x:c r="F146" s="10" t="n">
        <x:f>D146^2</x:f>
        <x:v>1009.6224894423727</x:v>
      </x:c>
      <x:c r="G146" s="10" t="n">
        <x:f>ABS(D146)</x:f>
        <x:v>31.774557265875046</x:v>
      </x:c>
      <x:c r="H146" s="10" t="n">
        <x:f>(B146-E146)^2</x:f>
        <x:v>78655657.78400625</x:v>
      </x:c>
    </x:row>
    <x:row r="147" ht="23" customHeight="1">
      <x:c r="A147" s="12" t="n">
        <x:v>10356</x:v>
      </x:c>
      <x:c r="B147" s="8" t="n">
        <x:v>18872.4</x:v>
      </x:c>
      <x:c r="C147" s="8" t="n">
        <x:v>19150.82629858847</x:v>
      </x:c>
      <x:c r="D147" s="8" t="n">
        <x:f>B147-C147</x:f>
        <x:v>-278.42629858846703</x:v>
      </x:c>
      <x:c r="E147" s="8" t="n">
        <x:v>16235.797499999999</x:v>
      </x:c>
      <x:c r="F147" s="8" t="n">
        <x:f>D147^2</x:f>
        <x:v>77521.2037456742</x:v>
      </x:c>
      <x:c r="G147" s="8" t="n">
        <x:f>ABS(D147)</x:f>
        <x:v>278.42629858846703</x:v>
      </x:c>
      <x:c r="H147" s="8" t="n">
        <x:f>(B147-E147)^2</x:f>
        <x:v>6951672.743006264</x:v>
      </x:c>
    </x:row>
    <x:row r="148" ht="23" customHeight="1">
      <x:c r="A148" s="11" t="n">
        <x:v>10495</x:v>
      </x:c>
      <x:c r="B148" s="10" t="n">
        <x:v>17507.4</x:v>
      </x:c>
      <x:c r="C148" s="10" t="n">
        <x:v>17021.65221466556</x:v>
      </x:c>
      <x:c r="D148" s="10" t="n">
        <x:f>B148-C148</x:f>
        <x:v>485.7477853344426</x:v>
      </x:c>
      <x:c r="E148" s="10" t="n">
        <x:v>16235.797499999999</x:v>
      </x:c>
      <x:c r="F148" s="10" t="n">
        <x:f>D148^2</x:f>
        <x:v>235950.91095731573</x:v>
      </x:c>
      <x:c r="G148" s="10" t="n">
        <x:f>ABS(D148)</x:f>
        <x:v>485.7477853344426</x:v>
      </x:c>
      <x:c r="H148" s="10" t="n">
        <x:f>(B148-E148)^2</x:f>
        <x:v>1616972.918006257</x:v>
      </x:c>
    </x:row>
    <x:row r="149" ht="23" customHeight="1">
      <x:c r="A149" s="12" t="n">
        <x:v>10071</x:v>
      </x:c>
      <x:c r="B149" s="8" t="n">
        <x:v>22477.3</x:v>
      </x:c>
      <x:c r="C149" s="8" t="n">
        <x:v>22280.086257270435</x:v>
      </x:c>
      <x:c r="D149" s="8" t="n">
        <x:f>B149-C149</x:f>
        <x:v>197.21374272956382</x:v>
      </x:c>
      <x:c r="E149" s="8" t="n">
        <x:v>16235.797499999999</x:v>
      </x:c>
      <x:c r="F149" s="8" t="n">
        <x:f>D149^2</x:f>
        <x:v>38893.26032140259</x:v>
      </x:c>
      <x:c r="G149" s="8" t="n">
        <x:f>ABS(D149)</x:f>
        <x:v>197.21374272956382</x:v>
      </x:c>
      <x:c r="H149" s="8" t="n">
        <x:f>(B149-E149)^2</x:f>
        <x:v>38956353.457506254</x:v>
      </x:c>
    </x:row>
    <x:row r="150" ht="23" customHeight="1">
      <x:c r="A150" s="11" t="n">
        <x:v>10657</x:v>
      </x:c>
      <x:c r="B150" s="10" t="n">
        <x:v>11969.5</x:v>
      </x:c>
      <x:c r="C150" s="10" t="n">
        <x:v>12093.628728665055</x:v>
      </x:c>
      <x:c r="D150" s="10" t="n">
        <x:f>B150-C150</x:f>
        <x:v>-124.12872866505495</x:v>
      </x:c>
      <x:c r="E150" s="10" t="n">
        <x:v>16235.797499999999</x:v>
      </x:c>
      <x:c r="F150" s="10" t="n">
        <x:f>D150^2</x:f>
        <x:v>15407.941280002835</x:v>
      </x:c>
      <x:c r="G150" s="10" t="n">
        <x:f>ABS(D150)</x:f>
        <x:v>124.12872866505495</x:v>
      </x:c>
      <x:c r="H150" s="10" t="n">
        <x:f>(B150-E150)^2</x:f>
        <x:v>18201294.35850624</x:v>
      </x:c>
    </x:row>
    <x:row r="151" ht="23" customHeight="1">
      <x:c r="A151" s="12" t="n">
        <x:v>10797</x:v>
      </x:c>
      <x:c r="B151" s="8" t="n">
        <x:v>23112</x:v>
      </x:c>
      <x:c r="C151" s="8" t="n">
        <x:v>22607.525170957688</x:v>
      </x:c>
      <x:c r="D151" s="8" t="n">
        <x:f>B151-C151</x:f>
        <x:v>504.4748290423122</x:v>
      </x:c>
      <x:c r="E151" s="8" t="n">
        <x:v>16235.797499999999</x:v>
      </x:c>
      <x:c r="F151" s="8" t="n">
        <x:f>D151^2</x:f>
        <x:v>254494.8531372701</x:v>
      </x:c>
      <x:c r="G151" s="8" t="n">
        <x:f>ABS(D151)</x:f>
        <x:v>504.4748290423122</x:v>
      </x:c>
      <x:c r="H151" s="8" t="n">
        <x:f>(B151-E151)^2</x:f>
        <x:v>47282160.82100627</x:v>
      </x:c>
    </x:row>
    <x:row r="152" ht="23" customHeight="1">
      <x:c r="A152" s="11" t="n">
        <x:v>10137</x:v>
      </x:c>
      <x:c r="B152" s="10" t="n">
        <x:v>17792.5</x:v>
      </x:c>
      <x:c r="C152" s="10" t="n">
        <x:v>17165.797721885945</x:v>
      </x:c>
      <x:c r="D152" s="10" t="n">
        <x:f>B152-C152</x:f>
        <x:v>626.7022781140549</x:v>
      </x:c>
      <x:c r="E152" s="10" t="n">
        <x:v>16235.797499999999</x:v>
      </x:c>
      <x:c r="F152" s="10" t="n">
        <x:f>D152^2</x:f>
        <x:v>392755.74539334624</x:v>
      </x:c>
      <x:c r="G152" s="10" t="n">
        <x:f>ABS(D152)</x:f>
        <x:v>626.7022781140549</x:v>
      </x:c>
      <x:c r="H152" s="10" t="n">
        <x:f>(B152-E152)^2</x:f>
        <x:v>2423322.673506254</x:v>
      </x:c>
    </x:row>
    <x:row r="153" ht="23" customHeight="1">
      <x:c r="A153" s="12" t="n">
        <x:v>10744</x:v>
      </x:c>
      <x:c r="B153" s="8" t="n">
        <x:v>14323.2</x:v>
      </x:c>
      <x:c r="C153" s="8" t="n">
        <x:v>14741.489022494403</x:v>
      </x:c>
      <x:c r="D153" s="8" t="n">
        <x:f>B153-C153</x:f>
        <x:v>-418.28902249440216</x:v>
      </x:c>
      <x:c r="E153" s="8" t="n">
        <x:v>16235.797499999999</x:v>
      </x:c>
      <x:c r="F153" s="8" t="n">
        <x:f>D153^2</x:f>
        <x:v>174965.70633932247</x:v>
      </x:c>
      <x:c r="G153" s="8" t="n">
        <x:f>ABS(D153)</x:f>
        <x:v>418.28902249440216</x:v>
      </x:c>
      <x:c r="H153" s="8" t="n">
        <x:f>(B153-E153)^2</x:f>
        <x:v>3658029.1970062423</x:v>
      </x:c>
    </x:row>
    <x:row r="154" ht="23" customHeight="1">
      <x:c r="A154" s="11" t="n">
        <x:v>10590</x:v>
      </x:c>
      <x:c r="B154" s="10" t="n">
        <x:v>9719.2</x:v>
      </x:c>
      <x:c r="C154" s="10" t="n">
        <x:v>8812.634593745759</x:v>
      </x:c>
      <x:c r="D154" s="10" t="n">
        <x:f>B154-C154</x:f>
        <x:v>906.5654062542417</x:v>
      </x:c>
      <x:c r="E154" s="10" t="n">
        <x:v>16235.797499999999</x:v>
      </x:c>
      <x:c r="F154" s="10" t="n">
        <x:f>D154^2</x:f>
        <x:v>821860.8358169183</x:v>
      </x:c>
      <x:c r="G154" s="10" t="n">
        <x:f>ABS(D154)</x:f>
        <x:v>906.5654062542417</x:v>
      </x:c>
      <x:c r="H154" s="10" t="n">
        <x:f>(B154-E154)^2</x:f>
        <x:v>42466042.97700623</x:v>
      </x:c>
    </x:row>
    <x:row r="155" ht="23" customHeight="1">
      <x:c r="A155" s="12" t="n">
        <x:v>10085</x:v>
      </x:c>
      <x:c r="B155" s="8" t="n">
        <x:v>11419.2</x:v>
      </x:c>
      <x:c r="C155" s="8" t="n">
        <x:v>12038.511925076162</x:v>
      </x:c>
      <x:c r="D155" s="8" t="n">
        <x:f>B155-C155</x:f>
        <x:v>-619.3119250761611</x:v>
      </x:c>
      <x:c r="E155" s="8" t="n">
        <x:v>16235.797499999999</x:v>
      </x:c>
      <x:c r="F155" s="8" t="n">
        <x:f>D155^2</x:f>
        <x:v>383547.2605415405</x:v>
      </x:c>
      <x:c r="G155" s="8" t="n">
        <x:f>ABS(D155)</x:f>
        <x:v>619.3119250761611</x:v>
      </x:c>
      <x:c r="H155" s="8" t="n">
        <x:f>(B155-E155)^2</x:f>
        <x:v>23199611.47700623</x:v>
      </x:c>
    </x:row>
    <x:row r="156" ht="23" customHeight="1">
      <x:c r="A156" s="11" t="n">
        <x:v>10019</x:v>
      </x:c>
      <x:c r="B156" s="10" t="n">
        <x:v>15315.3</x:v>
      </x:c>
      <x:c r="C156" s="10" t="n">
        <x:v>15239.346036002664</x:v>
      </x:c>
      <x:c r="D156" s="10" t="n">
        <x:f>B156-C156</x:f>
        <x:v>75.95396399733545</x:v>
      </x:c>
      <x:c r="E156" s="10" t="n">
        <x:v>16235.797499999999</x:v>
      </x:c>
      <x:c r="F156" s="10" t="n">
        <x:f>D156^2</x:f>
        <x:v>5769.00464690853</x:v>
      </x:c>
      <x:c r="G156" s="10" t="n">
        <x:f>ABS(D156)</x:f>
        <x:v>75.95396399733545</x:v>
      </x:c>
      <x:c r="H156" s="10" t="n">
        <x:f>(B156-E156)^2</x:f>
        <x:v>847315.647506249</x:v>
      </x:c>
    </x:row>
    <x:row r="157" ht="23" customHeight="1">
      <x:c r="A157" s="12" t="n">
        <x:v>10778</x:v>
      </x:c>
      <x:c r="B157" s="8" t="n">
        <x:v>19719.9</x:v>
      </x:c>
      <x:c r="C157" s="8" t="n">
        <x:v>20689.395806218454</x:v>
      </x:c>
      <x:c r="D157" s="8" t="n">
        <x:f>B157-C157</x:f>
        <x:v>-969.4958062184523</x:v>
      </x:c>
      <x:c r="E157" s="8" t="n">
        <x:v>16235.797499999999</x:v>
      </x:c>
      <x:c r="F157" s="8" t="n">
        <x:f>D157^2</x:f>
        <x:v>939922.118275167</x:v>
      </x:c>
      <x:c r="G157" s="8" t="n">
        <x:f>ABS(D157)</x:f>
        <x:v>969.4958062184523</x:v>
      </x:c>
      <x:c r="H157" s="8" t="n">
        <x:f>(B157-E157)^2</x:f>
        <x:v>12138970.23050627</x:v>
      </x:c>
    </x:row>
    <x:row r="158" ht="23" customHeight="1">
      <x:c r="A158" s="11" t="n">
        <x:v>10115</x:v>
      </x:c>
      <x:c r="B158" s="10" t="n">
        <x:v>17675.4</x:v>
      </x:c>
      <x:c r="C158" s="10" t="n">
        <x:v>18050.51590104223</x:v>
      </x:c>
      <x:c r="D158" s="10" t="n">
        <x:f>B158-C158</x:f>
        <x:v>-375.11590104222705</x:v>
      </x:c>
      <x:c r="E158" s="10" t="n">
        <x:v>16235.797499999999</x:v>
      </x:c>
      <x:c r="F158" s="10" t="n">
        <x:f>D158^2</x:f>
        <x:v>140711.93921472188</x:v>
      </x:c>
      <x:c r="G158" s="10" t="n">
        <x:f>ABS(D158)</x:f>
        <x:v>375.11590104222705</x:v>
      </x:c>
      <x:c r="H158" s="10" t="n">
        <x:f>(B158-E158)^2</x:f>
        <x:v>2072455.3580062578</x:v>
      </x:c>
    </x:row>
    <x:row r="159" ht="23" customHeight="1">
      <x:c r="A159" s="12" t="n">
        <x:v>10434</x:v>
      </x:c>
      <x:c r="B159" s="8" t="n">
        <x:v>9061.9</x:v>
      </x:c>
      <x:c r="C159" s="8" t="n">
        <x:v>7706.3590270776895</x:v>
      </x:c>
      <x:c r="D159" s="8" t="n">
        <x:f>B159-C159</x:f>
        <x:v>1355.5409729223102</x:v>
      </x:c>
      <x:c r="E159" s="8" t="n">
        <x:v>16235.797499999999</x:v>
      </x:c>
      <x:c r="F159" s="8" t="n">
        <x:f>D159^2</x:f>
        <x:v>1837491.3292711633</x:v>
      </x:c>
      <x:c r="G159" s="8" t="n">
        <x:f>ABS(D159)</x:f>
        <x:v>1355.5409729223102</x:v>
      </x:c>
      <x:c r="H159" s="8" t="n">
        <x:f>(B159-E159)^2</x:f>
        <x:v>51464805.34050624</x:v>
      </x:c>
    </x:row>
    <x:row r="160" ht="23" customHeight="1">
      <x:c r="A160" s="11" t="n">
        <x:v>10519</x:v>
      </x:c>
      <x:c r="B160" s="10" t="n">
        <x:v>28135.4</x:v>
      </x:c>
      <x:c r="C160" s="10" t="n">
        <x:v>27669.86490533012</x:v>
      </x:c>
      <x:c r="D160" s="10" t="n">
        <x:f>B160-C160</x:f>
        <x:v>465.5350946698818</x:v>
      </x:c>
      <x:c r="E160" s="10" t="n">
        <x:v>16235.797499999999</x:v>
      </x:c>
      <x:c r="F160" s="10" t="n">
        <x:f>D160^2</x:f>
        <x:v>216722.9243692958</x:v>
      </x:c>
      <x:c r="G160" s="10" t="n">
        <x:f>ABS(D160)</x:f>
        <x:v>465.5350946698818</x:v>
      </x:c>
      <x:c r="H160" s="10" t="n">
        <x:f>(B160-E160)^2</x:f>
        <x:v>141600539.6580063</x:v>
      </x:c>
    </x:row>
    <x:row r="161" ht="23" customHeight="1">
      <x:c r="A161" s="12" t="n">
        <x:v>10660</x:v>
      </x:c>
      <x:c r="B161" s="8" t="n">
        <x:v>18183.4</x:v>
      </x:c>
      <x:c r="C161" s="8" t="n">
        <x:v>18612.38533253656</x:v>
      </x:c>
      <x:c r="D161" s="8" t="n">
        <x:f>B161-C161</x:f>
        <x:v>-428.9853325365584</x:v>
      </x:c>
      <x:c r="E161" s="8" t="n">
        <x:v>16235.797499999999</x:v>
      </x:c>
      <x:c r="F161" s="8" t="n">
        <x:f>D161^2</x:f>
        <x:v>184028.4155315016</x:v>
      </x:c>
      <x:c r="G161" s="8" t="n">
        <x:f>ABS(D161)</x:f>
        <x:v>428.9853325365584</x:v>
      </x:c>
      <x:c r="H161" s="8" t="n">
        <x:f>(B161-E161)^2</x:f>
        <x:v>3793155.4980062605</x:v>
      </x:c>
    </x:row>
    <x:row r="162" ht="23" customHeight="1">
      <x:c r="A162" s="11" t="n">
        <x:v>10555</x:v>
      </x:c>
      <x:c r="B162" s="10" t="n">
        <x:v>21001.5</x:v>
      </x:c>
      <x:c r="C162" s="10" t="n">
        <x:v>21770.117455093514</x:v>
      </x:c>
      <x:c r="D162" s="10" t="n">
        <x:f>B162-C162</x:f>
        <x:v>-768.6174550935139</x:v>
      </x:c>
      <x:c r="E162" s="10" t="n">
        <x:v>16235.797499999999</x:v>
      </x:c>
      <x:c r="F162" s="10" t="n">
        <x:f>D162^2</x:f>
        <x:v>590772.7922744298</x:v>
      </x:c>
      <x:c r="G162" s="10" t="n">
        <x:f>ABS(D162)</x:f>
        <x:v>768.6174550935139</x:v>
      </x:c>
      <x:c r="H162" s="10" t="n">
        <x:f>(B162-E162)^2</x:f>
        <x:v>22711920.318506263</x:v>
      </x:c>
    </x:row>
    <x:row r="163" ht="23" customHeight="1">
      <x:c r="A163" s="12" t="n">
        <x:v>10520</x:v>
      </x:c>
      <x:c r="B163" s="8" t="n">
        <x:v>7833</x:v>
      </x:c>
      <x:c r="C163" s="8" t="n">
        <x:v>7700.207244763187</x:v>
      </x:c>
      <x:c r="D163" s="8" t="n">
        <x:f>B163-C163</x:f>
        <x:v>132.7927552368128</x:v>
      </x:c>
      <x:c r="E163" s="8" t="n">
        <x:v>16235.797499999999</x:v>
      </x:c>
      <x:c r="F163" s="8" t="n">
        <x:f>D163^2</x:f>
        <x:v>17633.915843384075</x:v>
      </x:c>
      <x:c r="G163" s="8" t="n">
        <x:f>ABS(D163)</x:f>
        <x:v>132.7927552368128</x:v>
      </x:c>
      <x:c r="H163" s="8" t="n">
        <x:f>(B163-E163)^2</x:f>
        <x:v>70607005.82600623</x:v>
      </x:c>
    </x:row>
    <x:row r="164" ht="23" customHeight="1">
      <x:c r="A164" s="11" t="n">
        <x:v>10735</x:v>
      </x:c>
      <x:c r="B164" s="10" t="n">
        <x:v>12397.8</x:v>
      </x:c>
      <x:c r="C164" s="10" t="n">
        <x:v>12525.37673280535</x:v>
      </x:c>
      <x:c r="D164" s="10" t="n">
        <x:f>B164-C164</x:f>
        <x:v>-127.57673280534982</x:v>
      </x:c>
      <x:c r="E164" s="10" t="n">
        <x:v>16235.797499999999</x:v>
      </x:c>
      <x:c r="F164" s="10" t="n">
        <x:f>D164^2</x:f>
        <x:v>16275.82275328762</x:v>
      </x:c>
      <x:c r="G164" s="10" t="n">
        <x:f>ABS(D164)</x:f>
        <x:v>127.57673280534982</x:v>
      </x:c>
      <x:c r="H164" s="10" t="n">
        <x:f>(B164-E164)^2</x:f>
        <x:v>14730224.810006246</x:v>
      </x:c>
    </x:row>
    <x:row r="165" ht="23" customHeight="1">
      <x:c r="A165" s="12" t="n">
        <x:v>10064</x:v>
      </x:c>
      <x:c r="B165" s="8" t="n">
        <x:v>14059.1</x:v>
      </x:c>
      <x:c r="C165" s="8" t="n">
        <x:v>13375.667200470689</x:v>
      </x:c>
      <x:c r="D165" s="8" t="n">
        <x:f>B165-C165</x:f>
        <x:v>683.4327995293115</x:v>
      </x:c>
      <x:c r="E165" s="8" t="n">
        <x:v>16235.797499999999</x:v>
      </x:c>
      <x:c r="F165" s="8" t="n">
        <x:f>D165^2</x:f>
        <x:v>467080.3914724721</x:v>
      </x:c>
      <x:c r="G165" s="8" t="n">
        <x:f>ABS(D165)</x:f>
        <x:v>683.4327995293115</x:v>
      </x:c>
      <x:c r="H165" s="8" t="n">
        <x:f>(B165-E165)^2</x:f>
        <x:v>4738012.006506243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22" hidden="0" customWidth="1"/>
  </x:cols>
  <x:sheetData>
    <x:row r="1" ht="10" customHeight="1"/>
    <x:row r="2">
      <x:c r="A2" s="1" t="str">
        <x:v>Устойчивость отбора признаков</x:v>
      </x:c>
    </x:row>
    <x:row r="3">
      <x:c r="A3" s="2" t="str">
        <x:v>Отбор заново выполняется в каждом из 480 LOOCV folds.</x:v>
      </x:c>
    </x:row>
    <x:row r="5" ht="44" customHeight="1">
      <x:c r="A5" s="7" t="str">
        <x:v>Признак</x:v>
      </x:c>
      <x:c r="B5" s="7" t="str">
        <x:v>Выбран в LOOCV folds</x:v>
      </x:c>
      <x:c r="C5" s="7" t="str">
        <x:v>Доля folds</x:v>
      </x:c>
    </x:row>
    <x:row r="6" ht="23" customHeight="1">
      <x:c r="A6" s="9" t="str">
        <x:v>Общая_площадь_м2</x:v>
      </x:c>
      <x:c r="B6" s="11" t="n">
        <x:v>480</x:v>
      </x:c>
      <x:c r="C6" s="29" t="n">
        <x:v>1</x:v>
      </x:c>
    </x:row>
    <x:row r="7" ht="23" customHeight="1">
      <x:c r="A7" s="3" t="str">
        <x:v>Этаж</x:v>
      </x:c>
      <x:c r="B7" s="12" t="n">
        <x:v>480</x:v>
      </x:c>
      <x:c r="C7" s="30" t="n">
        <x:v>1</x:v>
      </x:c>
    </x:row>
    <x:row r="8" ht="23" customHeight="1">
      <x:c r="A8" s="9" t="str">
        <x:v>Год_постройки</x:v>
      </x:c>
      <x:c r="B8" s="11" t="n">
        <x:v>480</x:v>
      </x:c>
      <x:c r="C8" s="29" t="n">
        <x:v>1</x:v>
      </x:c>
    </x:row>
    <x:row r="9" ht="23" customHeight="1">
      <x:c r="A9" s="3" t="str">
        <x:v>Расстояние_до_метро_мин</x:v>
      </x:c>
      <x:c r="B9" s="12" t="n">
        <x:v>403</x:v>
      </x:c>
      <x:c r="C9" s="30" t="n">
        <x:v>0.8395833333333333</x:v>
      </x:c>
    </x:row>
    <x:row r="10" ht="23" customHeight="1">
      <x:c r="A10" s="9" t="str">
        <x:v>Номер_подъезда</x:v>
      </x:c>
      <x:c r="B10" s="11" t="n">
        <x:v>249</x:v>
      </x:c>
      <x:c r="C10" s="29" t="n">
        <x:v>0.51875</x:v>
      </x:c>
    </x:row>
    <x:row r="14">
      <x:c r="A14" s="13" t="str">
        <x:v>Удалённые признаки на полном train</x:v>
      </x:c>
    </x:row>
    <x:row r="16" ht="44" customHeight="1">
      <x:c r="A16" s="7" t="str">
        <x:v>Признак</x:v>
      </x:c>
      <x:c r="B16" s="7" t="str">
        <x:v>Причина</x:v>
      </x:c>
      <x:c r="C16" s="7" t="str">
        <x:v>Значение</x:v>
      </x:c>
    </x:row>
    <x:row r="17" ht="23" customHeight="1">
      <x:c r="A17" s="9" t="str">
        <x:v>Жилая_площадь_м2</x:v>
      </x:c>
      <x:c r="B17" s="9" t="str">
        <x:v>t: p&gt;=alpha</x:v>
      </x:c>
      <x:c r="C17" s="10" t="n">
        <x:v>0.4737828886972142</x:v>
      </x:c>
    </x:row>
    <x:row r="18" ht="23" customHeight="1">
      <x:c r="A18" s="3" t="str">
        <x:v>Количество_комнат</x:v>
      </x:c>
      <x:c r="B18" s="3" t="str">
        <x:v>t: p&gt;=alpha</x:v>
      </x:c>
      <x:c r="C18" s="8" t="n">
        <x:v>0.3957361357085659</x:v>
      </x:c>
    </x:row>
    <x:row r="19" ht="23" customHeight="1">
      <x:c r="A19" s="9" t="str">
        <x:v>Расстояние_до_метро_м</x:v>
      </x:c>
      <x:c r="B19" s="9" t="str">
        <x:v>t: p&gt;=alpha</x:v>
      </x:c>
      <x:c r="C19" s="10" t="n">
        <x:v>0.43447750434285626</x:v>
      </x:c>
    </x:row>
    <x:row r="20" ht="23" customHeight="1">
      <x:c r="A20" s="3" t="str">
        <x:v>Код_домофона</x:v>
      </x:c>
      <x:c r="B20" s="3" t="str">
        <x:v>t: p&gt;=alpha</x:v>
      </x:c>
      <x:c r="C20" s="8" t="n">
        <x:v>0.5685896060354496</x:v>
      </x:c>
    </x:row>
    <x:row r="21" ht="23" customHeight="1">
      <x:c r="A21" s="9" t="str">
        <x:v>Случайный_показатель_шум</x:v>
      </x:c>
      <x:c r="B21" s="9" t="str">
        <x:v>t: p&gt;=alpha</x:v>
      </x:c>
      <x:c r="C21" s="10" t="n">
        <x:v>0.46060493675969627</x:v>
      </x:c>
    </x:row>
    <x:row r="22" ht="23" customHeight="1">
      <x:c r="A22" s="3" t="str">
        <x:v>День_недели_публикации_Вт</x:v>
      </x:c>
      <x:c r="B22" s="3" t="str">
        <x:v>t: p&gt;=alpha</x:v>
      </x:c>
      <x:c r="C22" s="8" t="n">
        <x:v>0.4450446380041094</x:v>
      </x:c>
    </x:row>
    <x:row r="23" ht="23" customHeight="1">
      <x:c r="A23" s="9" t="str">
        <x:v>День_недели_публикации_Пн</x:v>
      </x:c>
      <x:c r="B23" s="9" t="str">
        <x:v>t: p&gt;=alpha</x:v>
      </x:c>
      <x:c r="C23" s="10" t="n">
        <x:v>0.960897930512063</x:v>
      </x:c>
    </x:row>
    <x:row r="24" ht="23" customHeight="1">
      <x:c r="A24" s="3" t="str">
        <x:v>День_недели_публикации_Пт</x:v>
      </x:c>
      <x:c r="B24" s="3" t="str">
        <x:v>t: p&gt;=alpha</x:v>
      </x:c>
      <x:c r="C24" s="8" t="n">
        <x:v>0.6196547113350747</x:v>
      </x:c>
    </x:row>
    <x:row r="25" ht="23" customHeight="1">
      <x:c r="A25" s="9" t="str">
        <x:v>День_недели_публикации_Сб</x:v>
      </x:c>
      <x:c r="B25" s="9" t="str">
        <x:v>t: p&gt;=alpha</x:v>
      </x:c>
      <x:c r="C25" s="10" t="n">
        <x:v>0.1571966476966818</x:v>
      </x:c>
    </x:row>
    <x:row r="26" ht="23" customHeight="1">
      <x:c r="A26" s="3" t="str">
        <x:v>День_недели_публикации_Ср</x:v>
      </x:c>
      <x:c r="B26" s="3" t="str">
        <x:v>t: p&gt;=alpha</x:v>
      </x:c>
      <x:c r="C26" s="8" t="n">
        <x:v>0.4535811444930828</x:v>
      </x:c>
    </x:row>
    <x:row r="27" ht="23" customHeight="1">
      <x:c r="A27" s="9" t="str">
        <x:v>День_недели_публикации_Чт</x:v>
      </x:c>
      <x:c r="B27" s="9" t="str">
        <x:v>t: p&gt;=alpha</x:v>
      </x:c>
      <x:c r="C27" s="10" t="n">
        <x:v>0.24683356383792396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24" hidden="0" customWidth="1"/>
    <x:col min="13" max="13" width="24" hidden="0" customWidth="1"/>
  </x:cols>
  <x:sheetData>
    <x:row r="1" ht="10" customHeight="1"/>
    <x:row r="2">
      <x:c r="A2" s="1" t="str">
        <x:v>Исходные наблюдения</x:v>
      </x:c>
    </x:row>
    <x:row r="3">
      <x:c r="A3" s="2" t="str">
        <x:v>Источник: regression_data.csv, 800 квартир. Лекции 1–3 и ROTNITE/workshop-on-ml, commit 60d25da.</x:v>
      </x:c>
    </x:row>
    <x:row r="5" ht="44" customHeight="1">
      <x:c r="A5" s="7" t="str">
        <x:v>ID_объекта</x:v>
      </x:c>
      <x:c r="B5" s="7" t="str">
        <x:v>Общая_площадь_м2</x:v>
      </x:c>
      <x:c r="C5" s="7" t="str">
        <x:v>Жилая_площадь_м2</x:v>
      </x:c>
      <x:c r="D5" s="7" t="str">
        <x:v>Количество_комнат</x:v>
      </x:c>
      <x:c r="E5" s="7" t="str">
        <x:v>Этаж</x:v>
      </x:c>
      <x:c r="F5" s="7" t="str">
        <x:v>Год_постройки</x:v>
      </x:c>
      <x:c r="G5" s="7" t="str">
        <x:v>Расстояние_до_метро_мин</x:v>
      </x:c>
      <x:c r="H5" s="7" t="str">
        <x:v>Расстояние_до_метро_м</x:v>
      </x:c>
      <x:c r="I5" s="7" t="str">
        <x:v>Номер_подъезда</x:v>
      </x:c>
      <x:c r="J5" s="7" t="str">
        <x:v>Код_домофона</x:v>
      </x:c>
      <x:c r="K5" s="7" t="str">
        <x:v>День_недели_публикации</x:v>
      </x:c>
      <x:c r="L5" s="7" t="str">
        <x:v>Случайный_показатель_шум</x:v>
      </x:c>
      <x:c r="M5" s="7" t="str">
        <x:v>Стоимость_квартиры_тыс_руб</x:v>
      </x:c>
    </x:row>
    <x:row r="6" ht="23" customHeight="1">
      <x:c r="A6" s="11" t="n">
        <x:v>10001</x:v>
      </x:c>
      <x:c r="B6" s="31" t="n">
        <x:v>69.9</x:v>
      </x:c>
      <x:c r="C6" s="31" t="n">
        <x:v>46.2</x:v>
      </x:c>
      <x:c r="D6" s="11" t="n">
        <x:v>2</x:v>
      </x:c>
      <x:c r="E6" s="11" t="n">
        <x:v>2</x:v>
      </x:c>
      <x:c r="F6" s="11" t="n">
        <x:v>2020</x:v>
      </x:c>
      <x:c r="G6" s="31" t="n">
        <x:v>10.2</x:v>
      </x:c>
      <x:c r="H6" s="11" t="n">
        <x:v>813</x:v>
      </x:c>
      <x:c r="I6" s="11" t="n">
        <x:v>6</x:v>
      </x:c>
      <x:c r="J6" s="11" t="n">
        <x:v>684</x:v>
      </x:c>
      <x:c r="K6" s="9" t="str">
        <x:v>Чт</x:v>
      </x:c>
      <x:c r="L6" s="10" t="n">
        <x:v>42.18</x:v>
      </x:c>
      <x:c r="M6" s="31" t="n">
        <x:v>14785.1</x:v>
      </x:c>
    </x:row>
    <x:row r="7" ht="23" customHeight="1">
      <x:c r="A7" s="12" t="n">
        <x:v>10002</x:v>
      </x:c>
      <x:c r="B7" s="32" t="n">
        <x:v>134.5</x:v>
      </x:c>
      <x:c r="C7" s="32" t="n">
        <x:v>78.9</x:v>
      </x:c>
      <x:c r="D7" s="12" t="n">
        <x:v>5</x:v>
      </x:c>
      <x:c r="E7" s="12" t="n">
        <x:v>11</x:v>
      </x:c>
      <x:c r="F7" s="12" t="n">
        <x:v>1984</x:v>
      </x:c>
      <x:c r="G7" s="32" t="n">
        <x:v>23.1</x:v>
      </x:c>
      <x:c r="H7" s="12" t="n">
        <x:v>1866</x:v>
      </x:c>
      <x:c r="I7" s="12" t="n">
        <x:v>4</x:v>
      </x:c>
      <x:c r="J7" s="12" t="n">
        <x:v>968</x:v>
      </x:c>
      <x:c r="K7" s="3" t="str">
        <x:v>Пн</x:v>
      </x:c>
      <x:c r="L7" s="8" t="n">
        <x:v>44.52</x:v>
      </x:c>
      <x:c r="M7" s="32" t="n">
        <x:v>23038.5</x:v>
      </x:c>
    </x:row>
    <x:row r="8" ht="23" customHeight="1">
      <x:c r="A8" s="11" t="n">
        <x:v>10003</x:v>
      </x:c>
      <x:c r="B8" s="31" t="n">
        <x:v>110</x:v>
      </x:c>
      <x:c r="C8" s="31" t="n">
        <x:v>66.2</x:v>
      </x:c>
      <x:c r="D8" s="11" t="n">
        <x:v>5</x:v>
      </x:c>
      <x:c r="E8" s="11" t="n">
        <x:v>10</x:v>
      </x:c>
      <x:c r="F8" s="11" t="n">
        <x:v>2010</x:v>
      </x:c>
      <x:c r="G8" s="31" t="n">
        <x:v>24</x:v>
      </x:c>
      <x:c r="H8" s="11" t="n">
        <x:v>2025</x:v>
      </x:c>
      <x:c r="I8" s="11" t="n">
        <x:v>5</x:v>
      </x:c>
      <x:c r="J8" s="11" t="n">
        <x:v>567</x:v>
      </x:c>
      <x:c r="K8" s="9" t="str">
        <x:v>Пт</x:v>
      </x:c>
      <x:c r="L8" s="10" t="n">
        <x:v>44.82</x:v>
      </x:c>
      <x:c r="M8" s="31" t="n">
        <x:v>20917.6</x:v>
      </x:c>
    </x:row>
    <x:row r="9" ht="23" customHeight="1">
      <x:c r="A9" s="12" t="n">
        <x:v>10004</x:v>
      </x:c>
      <x:c r="B9" s="32" t="n">
        <x:v>95</x:v>
      </x:c>
      <x:c r="C9" s="32" t="n">
        <x:v>59.7</x:v>
      </x:c>
      <x:c r="D9" s="12" t="n">
        <x:v>4</x:v>
      </x:c>
      <x:c r="E9" s="12" t="n">
        <x:v>15</x:v>
      </x:c>
      <x:c r="F9" s="12" t="n">
        <x:v>2008</x:v>
      </x:c>
      <x:c r="G9" s="32" t="n">
        <x:v>7.4</x:v>
      </x:c>
      <x:c r="H9" s="12" t="n">
        <x:v>516</x:v>
      </x:c>
      <x:c r="I9" s="12" t="n">
        <x:v>7</x:v>
      </x:c>
      <x:c r="J9" s="12" t="n">
        <x:v>965</x:v>
      </x:c>
      <x:c r="K9" s="3" t="str">
        <x:v>Ср</x:v>
      </x:c>
      <x:c r="L9" s="8" t="n">
        <x:v>52.59</x:v>
      </x:c>
      <x:c r="M9" s="32" t="n">
        <x:v>19347.4</x:v>
      </x:c>
    </x:row>
    <x:row r="10" ht="23" customHeight="1">
      <x:c r="A10" s="11" t="n">
        <x:v>10005</x:v>
      </x:c>
      <x:c r="B10" s="31" t="n">
        <x:v>45.5</x:v>
      </x:c>
      <x:c r="C10" s="31" t="n">
        <x:v>27</x:v>
      </x:c>
      <x:c r="D10" s="11" t="n">
        <x:v>3</x:v>
      </x:c>
      <x:c r="E10" s="11" t="n">
        <x:v>17</x:v>
      </x:c>
      <x:c r="F10" s="11" t="n">
        <x:v>1971</x:v>
      </x:c>
      <x:c r="G10" s="31" t="n">
        <x:v>20.6</x:v>
      </x:c>
      <x:c r="H10" s="11" t="n">
        <x:v>1706</x:v>
      </x:c>
      <x:c r="I10" s="11" t="n">
        <x:v>9</x:v>
      </x:c>
      <x:c r="J10" s="11" t="n">
        <x:v>637</x:v>
      </x:c>
      <x:c r="K10" s="9" t="str">
        <x:v>Пн</x:v>
      </x:c>
      <x:c r="L10" s="10" t="n">
        <x:v>31.69</x:v>
      </x:c>
      <x:c r="M10" s="31" t="n">
        <x:v>8173.2</x:v>
      </x:c>
    </x:row>
    <x:row r="11" ht="23" customHeight="1">
      <x:c r="A11" s="12" t="n">
        <x:v>10006</x:v>
      </x:c>
      <x:c r="B11" s="32" t="n">
        <x:v>45.5</x:v>
      </x:c>
      <x:c r="C11" s="32" t="n">
        <x:v>25.5</x:v>
      </x:c>
      <x:c r="D11" s="12" t="n">
        <x:v>2</x:v>
      </x:c>
      <x:c r="E11" s="12" t="n">
        <x:v>8</x:v>
      </x:c>
      <x:c r="F11" s="12" t="n">
        <x:v>1998</x:v>
      </x:c>
      <x:c r="G11" s="32" t="n">
        <x:v>27.5</x:v>
      </x:c>
      <x:c r="H11" s="12" t="n">
        <x:v>2249</x:v>
      </x:c>
      <x:c r="I11" s="12" t="n">
        <x:v>6</x:v>
      </x:c>
      <x:c r="J11" s="12" t="n">
        <x:v>309</x:v>
      </x:c>
      <x:c r="K11" s="3" t="str">
        <x:v>Пт</x:v>
      </x:c>
      <x:c r="L11" s="8" t="n">
        <x:v>35.79</x:v>
      </x:c>
      <x:c r="M11" s="32" t="n">
        <x:v>8999</x:v>
      </x:c>
    </x:row>
    <x:row r="12" ht="23" customHeight="1">
      <x:c r="A12" s="11" t="n">
        <x:v>10007</x:v>
      </x:c>
      <x:c r="B12" s="31" t="n">
        <x:v>34.5</x:v>
      </x:c>
      <x:c r="C12" s="31" t="n">
        <x:v>20.3</x:v>
      </x:c>
      <x:c r="D12" s="11" t="n">
        <x:v>1</x:v>
      </x:c>
      <x:c r="E12" s="11" t="n">
        <x:v>18</x:v>
      </x:c>
      <x:c r="F12" s="11" t="n">
        <x:v>2010</x:v>
      </x:c>
      <x:c r="G12" s="31" t="n">
        <x:v>18.5</x:v>
      </x:c>
      <x:c r="H12" s="11" t="n">
        <x:v>1441</x:v>
      </x:c>
      <x:c r="I12" s="11" t="n">
        <x:v>6</x:v>
      </x:c>
      <x:c r="J12" s="11" t="n">
        <x:v>703</x:v>
      </x:c>
      <x:c r="K12" s="9" t="str">
        <x:v>Пт</x:v>
      </x:c>
      <x:c r="L12" s="10" t="n">
        <x:v>75.21</x:v>
      </x:c>
      <x:c r="M12" s="31" t="n">
        <x:v>8114.7</x:v>
      </x:c>
    </x:row>
    <x:row r="13" ht="23" customHeight="1">
      <x:c r="A13" s="12" t="n">
        <x:v>10008</x:v>
      </x:c>
      <x:c r="B13" s="32" t="n">
        <x:v>125</x:v>
      </x:c>
      <x:c r="C13" s="32" t="n">
        <x:v>83.8</x:v>
      </x:c>
      <x:c r="D13" s="12" t="n">
        <x:v>5</x:v>
      </x:c>
      <x:c r="E13" s="12" t="n">
        <x:v>23</x:v>
      </x:c>
      <x:c r="F13" s="12" t="n">
        <x:v>1979</x:v>
      </x:c>
      <x:c r="G13" s="32" t="n">
        <x:v>2.4</x:v>
      </x:c>
      <x:c r="H13" s="12" t="n">
        <x:v>202</x:v>
      </x:c>
      <x:c r="I13" s="12" t="n">
        <x:v>8</x:v>
      </x:c>
      <x:c r="J13" s="12" t="n">
        <x:v>736</x:v>
      </x:c>
      <x:c r="K13" s="3" t="str">
        <x:v>Чт</x:v>
      </x:c>
      <x:c r="L13" s="8" t="n">
        <x:v>56.04</x:v>
      </x:c>
      <x:c r="M13" s="32" t="n">
        <x:v>24087.3</x:v>
      </x:c>
    </x:row>
    <x:row r="14" ht="23" customHeight="1">
      <x:c r="A14" s="11" t="n">
        <x:v>10009</x:v>
      </x:c>
      <x:c r="B14" s="31" t="n">
        <x:v>95.3</x:v>
      </x:c>
      <x:c r="C14" s="31" t="n">
        <x:v>66.1</x:v>
      </x:c>
      <x:c r="D14" s="11" t="n">
        <x:v>4</x:v>
      </x:c>
      <x:c r="E14" s="11" t="n">
        <x:v>9</x:v>
      </x:c>
      <x:c r="F14" s="11" t="n">
        <x:v>1971</x:v>
      </x:c>
      <x:c r="G14" s="31" t="n">
        <x:v>2.3</x:v>
      </x:c>
      <x:c r="H14" s="11" t="n">
        <x:v>161</x:v>
      </x:c>
      <x:c r="I14" s="11" t="n">
        <x:v>4</x:v>
      </x:c>
      <x:c r="J14" s="11" t="n">
        <x:v>172</x:v>
      </x:c>
      <x:c r="K14" s="9" t="str">
        <x:v>Пн</x:v>
      </x:c>
      <x:c r="L14" s="10" t="n">
        <x:v>61.41</x:v>
      </x:c>
      <x:c r="M14" s="31" t="n">
        <x:v>18287.5</x:v>
      </x:c>
    </x:row>
    <x:row r="15" ht="23" customHeight="1">
      <x:c r="A15" s="12" t="n">
        <x:v>10010</x:v>
      </x:c>
      <x:c r="B15" s="32" t="n">
        <x:v>107.3</x:v>
      </x:c>
      <x:c r="C15" s="32" t="n">
        <x:v>62.8</x:v>
      </x:c>
      <x:c r="D15" s="12" t="n">
        <x:v>5</x:v>
      </x:c>
      <x:c r="E15" s="12" t="n">
        <x:v>25</x:v>
      </x:c>
      <x:c r="F15" s="12" t="n">
        <x:v>2020</x:v>
      </x:c>
      <x:c r="G15" s="32" t="n">
        <x:v>13.8</x:v>
      </x:c>
      <x:c r="H15" s="12" t="n">
        <x:v>1113</x:v>
      </x:c>
      <x:c r="I15" s="12" t="n">
        <x:v>3</x:v>
      </x:c>
      <x:c r="J15" s="12" t="n">
        <x:v>734</x:v>
      </x:c>
      <x:c r="K15" s="3" t="str">
        <x:v>Ср</x:v>
      </x:c>
      <x:c r="L15" s="8" t="n">
        <x:v>50.87</x:v>
      </x:c>
      <x:c r="M15" s="32" t="n">
        <x:v>20979.7</x:v>
      </x:c>
    </x:row>
    <x:row r="16" ht="23" customHeight="1">
      <x:c r="A16" s="11" t="n">
        <x:v>10011</x:v>
      </x:c>
      <x:c r="B16" s="31" t="n">
        <x:v>30.3</x:v>
      </x:c>
      <x:c r="C16" s="31" t="n">
        <x:v>18.3</x:v>
      </x:c>
      <x:c r="D16" s="11" t="n">
        <x:v>1</x:v>
      </x:c>
      <x:c r="E16" s="11" t="n">
        <x:v>8</x:v>
      </x:c>
      <x:c r="F16" s="11" t="n">
        <x:v>1980</x:v>
      </x:c>
      <x:c r="G16" s="31" t="n">
        <x:v>32.6</x:v>
      </x:c>
      <x:c r="H16" s="11" t="n">
        <x:v>2683</x:v>
      </x:c>
      <x:c r="I16" s="11" t="n">
        <x:v>7</x:v>
      </x:c>
      <x:c r="J16" s="11" t="n">
        <x:v>408</x:v>
      </x:c>
      <x:c r="K16" s="9" t="str">
        <x:v>Ср</x:v>
      </x:c>
      <x:c r="L16" s="10" t="n">
        <x:v>47.9</x:v>
      </x:c>
      <x:c r="M16" s="31" t="n">
        <x:v>4814.1</x:v>
      </x:c>
    </x:row>
    <x:row r="17" ht="23" customHeight="1">
      <x:c r="A17" s="12" t="n">
        <x:v>10012</x:v>
      </x:c>
      <x:c r="B17" s="32" t="n">
        <x:v>136.6</x:v>
      </x:c>
      <x:c r="C17" s="32" t="n">
        <x:v>77.3</x:v>
      </x:c>
      <x:c r="D17" s="12" t="n">
        <x:v>5</x:v>
      </x:c>
      <x:c r="E17" s="12" t="n">
        <x:v>14</x:v>
      </x:c>
      <x:c r="F17" s="12" t="n">
        <x:v>1982</x:v>
      </x:c>
      <x:c r="G17" s="32" t="n">
        <x:v>9.5</x:v>
      </x:c>
      <x:c r="H17" s="12" t="n">
        <x:v>790</x:v>
      </x:c>
      <x:c r="I17" s="12" t="n">
        <x:v>5</x:v>
      </x:c>
      <x:c r="J17" s="12" t="n">
        <x:v>795</x:v>
      </x:c>
      <x:c r="K17" s="3" t="str">
        <x:v>Пн</x:v>
      </x:c>
      <x:c r="L17" s="8" t="n">
        <x:v>56.86</x:v>
      </x:c>
      <x:c r="M17" s="32" t="n">
        <x:v>25849.9</x:v>
      </x:c>
    </x:row>
    <x:row r="18" ht="23" customHeight="1">
      <x:c r="A18" s="11" t="n">
        <x:v>10013</x:v>
      </x:c>
      <x:c r="B18" s="31" t="n">
        <x:v>121.2</x:v>
      </x:c>
      <x:c r="C18" s="31" t="n">
        <x:v>70.1</x:v>
      </x:c>
      <x:c r="D18" s="11" t="n">
        <x:v>5</x:v>
      </x:c>
      <x:c r="E18" s="11" t="n">
        <x:v>25</x:v>
      </x:c>
      <x:c r="F18" s="11" t="n">
        <x:v>1979</x:v>
      </x:c>
      <x:c r="G18" s="31" t="n">
        <x:v>22.9</x:v>
      </x:c>
      <x:c r="H18" s="11" t="n">
        <x:v>1857</x:v>
      </x:c>
      <x:c r="I18" s="11" t="n">
        <x:v>2</x:v>
      </x:c>
      <x:c r="J18" s="11" t="n">
        <x:v>798</x:v>
      </x:c>
      <x:c r="K18" s="9" t="str">
        <x:v>Пн</x:v>
      </x:c>
      <x:c r="L18" s="10" t="n">
        <x:v>60.91</x:v>
      </x:c>
      <x:c r="M18" s="31" t="n">
        <x:v>21678.3</x:v>
      </x:c>
    </x:row>
    <x:row r="19" ht="23" customHeight="1">
      <x:c r="A19" s="12" t="n">
        <x:v>10014</x:v>
      </x:c>
      <x:c r="B19" s="32" t="n">
        <x:v>51.8</x:v>
      </x:c>
      <x:c r="C19" s="32" t="n">
        <x:v>35</x:v>
      </x:c>
      <x:c r="D19" s="12" t="n">
        <x:v>2</x:v>
      </x:c>
      <x:c r="E19" s="12" t="n">
        <x:v>18</x:v>
      </x:c>
      <x:c r="F19" s="12" t="n">
        <x:v>1983</x:v>
      </x:c>
      <x:c r="G19" s="32" t="n">
        <x:v>9.3</x:v>
      </x:c>
      <x:c r="H19" s="12" t="n">
        <x:v>722</x:v>
      </x:c>
      <x:c r="I19" s="12" t="n">
        <x:v>2</x:v>
      </x:c>
      <x:c r="J19" s="12" t="n">
        <x:v>809</x:v>
      </x:c>
      <x:c r="K19" s="3" t="str">
        <x:v>Сб</x:v>
      </x:c>
      <x:c r="L19" s="8" t="n">
        <x:v>62.69</x:v>
      </x:c>
      <x:c r="M19" s="32" t="n">
        <x:v>9944.6</x:v>
      </x:c>
    </x:row>
    <x:row r="20" ht="23" customHeight="1">
      <x:c r="A20" s="11" t="n">
        <x:v>10015</x:v>
      </x:c>
      <x:c r="B20" s="31" t="n">
        <x:v>48.4</x:v>
      </x:c>
      <x:c r="C20" s="31" t="n">
        <x:v>29.2</x:v>
      </x:c>
      <x:c r="D20" s="11" t="n">
        <x:v>1</x:v>
      </x:c>
      <x:c r="E20" s="11" t="n">
        <x:v>22</x:v>
      </x:c>
      <x:c r="F20" s="11" t="n">
        <x:v>1987</x:v>
      </x:c>
      <x:c r="G20" s="31" t="n">
        <x:v>12.6</x:v>
      </x:c>
      <x:c r="H20" s="11" t="n">
        <x:v>934</x:v>
      </x:c>
      <x:c r="I20" s="11" t="n">
        <x:v>6</x:v>
      </x:c>
      <x:c r="J20" s="11" t="n">
        <x:v>689</x:v>
      </x:c>
      <x:c r="K20" s="9" t="str">
        <x:v>Вт</x:v>
      </x:c>
      <x:c r="L20" s="10" t="n">
        <x:v>48.1</x:v>
      </x:c>
      <x:c r="M20" s="31" t="n">
        <x:v>9923.5</x:v>
      </x:c>
    </x:row>
    <x:row r="21" ht="23" customHeight="1">
      <x:c r="A21" s="12" t="n">
        <x:v>10016</x:v>
      </x:c>
      <x:c r="B21" s="32" t="n">
        <x:v>48.5</x:v>
      </x:c>
      <x:c r="C21" s="32" t="n">
        <x:v>27.8</x:v>
      </x:c>
      <x:c r="D21" s="12" t="n">
        <x:v>1</x:v>
      </x:c>
      <x:c r="E21" s="12" t="n">
        <x:v>20</x:v>
      </x:c>
      <x:c r="F21" s="12" t="n">
        <x:v>2020</x:v>
      </x:c>
      <x:c r="G21" s="32" t="n">
        <x:v>30</x:v>
      </x:c>
      <x:c r="H21" s="12" t="n">
        <x:v>2390</x:v>
      </x:c>
      <x:c r="I21" s="12" t="n">
        <x:v>8</x:v>
      </x:c>
      <x:c r="J21" s="12" t="n">
        <x:v>959</x:v>
      </x:c>
      <x:c r="K21" s="3" t="str">
        <x:v>Чт</x:v>
      </x:c>
      <x:c r="L21" s="8" t="n">
        <x:v>64.33</x:v>
      </x:c>
      <x:c r="M21" s="32" t="n">
        <x:v>10434.8</x:v>
      </x:c>
    </x:row>
    <x:row r="22" ht="23" customHeight="1">
      <x:c r="A22" s="11" t="n">
        <x:v>10017</x:v>
      </x:c>
      <x:c r="B22" s="31" t="n">
        <x:v>62.1</x:v>
      </x:c>
      <x:c r="C22" s="31" t="n">
        <x:v>34.9</x:v>
      </x:c>
      <x:c r="D22" s="11" t="n">
        <x:v>3</x:v>
      </x:c>
      <x:c r="E22" s="11" t="n">
        <x:v>20</x:v>
      </x:c>
      <x:c r="F22" s="11" t="n">
        <x:v>2023</x:v>
      </x:c>
      <x:c r="G22" s="31" t="n">
        <x:v>26.1</x:v>
      </x:c>
      <x:c r="H22" s="11" t="n">
        <x:v>2148</x:v>
      </x:c>
      <x:c r="I22" s="11" t="n">
        <x:v>1</x:v>
      </x:c>
      <x:c r="J22" s="11" t="n">
        <x:v>285</x:v>
      </x:c>
      <x:c r="K22" s="9" t="str">
        <x:v>Пн</x:v>
      </x:c>
      <x:c r="L22" s="10" t="n">
        <x:v>13.01</x:v>
      </x:c>
      <x:c r="M22" s="31" t="n">
        <x:v>12418.4</x:v>
      </x:c>
    </x:row>
    <x:row r="23" ht="23" customHeight="1">
      <x:c r="A23" s="12" t="n">
        <x:v>10018</x:v>
      </x:c>
      <x:c r="B23" s="32" t="n">
        <x:v>86.8</x:v>
      </x:c>
      <x:c r="C23" s="32" t="n">
        <x:v>62</x:v>
      </x:c>
      <x:c r="D23" s="12" t="n">
        <x:v>4</x:v>
      </x:c>
      <x:c r="E23" s="12" t="n">
        <x:v>21</x:v>
      </x:c>
      <x:c r="F23" s="12" t="n">
        <x:v>1978</x:v>
      </x:c>
      <x:c r="G23" s="32" t="n">
        <x:v>5.1</x:v>
      </x:c>
      <x:c r="H23" s="12" t="n">
        <x:v>332</x:v>
      </x:c>
      <x:c r="I23" s="12" t="n">
        <x:v>6</x:v>
      </x:c>
      <x:c r="J23" s="12" t="n">
        <x:v>955</x:v>
      </x:c>
      <x:c r="K23" s="3" t="str">
        <x:v>Пн</x:v>
      </x:c>
      <x:c r="L23" s="8" t="n">
        <x:v>63.38</x:v>
      </x:c>
      <x:c r="M23" s="32" t="n">
        <x:v>17518.4</x:v>
      </x:c>
    </x:row>
    <x:row r="24" ht="23" customHeight="1">
      <x:c r="A24" s="11" t="n">
        <x:v>10019</x:v>
      </x:c>
      <x:c r="B24" s="31" t="n">
        <x:v>76.4</x:v>
      </x:c>
      <x:c r="C24" s="31" t="n">
        <x:v>52.3</x:v>
      </x:c>
      <x:c r="D24" s="11" t="n">
        <x:v>2</x:v>
      </x:c>
      <x:c r="E24" s="11" t="n">
        <x:v>12</x:v>
      </x:c>
      <x:c r="F24" s="11" t="n">
        <x:v>2008</x:v>
      </x:c>
      <x:c r="G24" s="31" t="n">
        <x:v>16.1</x:v>
      </x:c>
      <x:c r="H24" s="11" t="n">
        <x:v>1235</x:v>
      </x:c>
      <x:c r="I24" s="11" t="n">
        <x:v>2</x:v>
      </x:c>
      <x:c r="J24" s="11" t="n">
        <x:v>352</x:v>
      </x:c>
      <x:c r="K24" s="9" t="str">
        <x:v>Вт</x:v>
      </x:c>
      <x:c r="L24" s="10" t="n">
        <x:v>43.6</x:v>
      </x:c>
      <x:c r="M24" s="31" t="n">
        <x:v>15315.3</x:v>
      </x:c>
    </x:row>
    <x:row r="25" ht="23" customHeight="1">
      <x:c r="A25" s="12" t="n">
        <x:v>10020</x:v>
      </x:c>
      <x:c r="B25" s="32" t="n">
        <x:v>60.6</x:v>
      </x:c>
      <x:c r="C25" s="32" t="n">
        <x:v>39</x:v>
      </x:c>
      <x:c r="D25" s="12" t="n">
        <x:v>2</x:v>
      </x:c>
      <x:c r="E25" s="12" t="n">
        <x:v>19</x:v>
      </x:c>
      <x:c r="F25" s="12" t="n">
        <x:v>1997</x:v>
      </x:c>
      <x:c r="G25" s="32" t="n">
        <x:v>3</x:v>
      </x:c>
      <x:c r="H25" s="12" t="n">
        <x:v>246</x:v>
      </x:c>
      <x:c r="I25" s="12" t="n">
        <x:v>2</x:v>
      </x:c>
      <x:c r="J25" s="12" t="n">
        <x:v>112</x:v>
      </x:c>
      <x:c r="K25" s="3" t="str">
        <x:v>Вт</x:v>
      </x:c>
      <x:c r="L25" s="8" t="n">
        <x:v>58.3</x:v>
      </x:c>
      <x:c r="M25" s="32" t="n">
        <x:v>13735.6</x:v>
      </x:c>
    </x:row>
    <x:row r="26" ht="23" customHeight="1">
      <x:c r="A26" s="11" t="n">
        <x:v>10021</x:v>
      </x:c>
      <x:c r="B26" s="31" t="n">
        <x:v>96.5</x:v>
      </x:c>
      <x:c r="C26" s="31" t="n">
        <x:v>63.7</x:v>
      </x:c>
      <x:c r="D26" s="11" t="n">
        <x:v>4</x:v>
      </x:c>
      <x:c r="E26" s="11" t="n">
        <x:v>14</x:v>
      </x:c>
      <x:c r="F26" s="11" t="n">
        <x:v>1972</x:v>
      </x:c>
      <x:c r="G26" s="31" t="n">
        <x:v>17.9</x:v>
      </x:c>
      <x:c r="H26" s="11" t="n">
        <x:v>1383</x:v>
      </x:c>
      <x:c r="I26" s="11" t="n">
        <x:v>7</x:v>
      </x:c>
      <x:c r="J26" s="11" t="n">
        <x:v>398</x:v>
      </x:c>
      <x:c r="K26" s="9" t="str">
        <x:v>Пт</x:v>
      </x:c>
      <x:c r="L26" s="10" t="n">
        <x:v>40.26</x:v>
      </x:c>
      <x:c r="M26" s="31" t="n">
        <x:v>16871.5</x:v>
      </x:c>
    </x:row>
    <x:row r="27" ht="23" customHeight="1">
      <x:c r="A27" s="12" t="n">
        <x:v>10022</x:v>
      </x:c>
      <x:c r="B27" s="32" t="n">
        <x:v>43.6</x:v>
      </x:c>
      <x:c r="C27" s="32" t="n">
        <x:v>24.4</x:v>
      </x:c>
      <x:c r="D27" s="12" t="n">
        <x:v>3</x:v>
      </x:c>
      <x:c r="E27" s="12" t="n">
        <x:v>17</x:v>
      </x:c>
      <x:c r="F27" s="12" t="n">
        <x:v>1989</x:v>
      </x:c>
      <x:c r="G27" s="32" t="n">
        <x:v>23.9</x:v>
      </x:c>
      <x:c r="H27" s="12" t="n">
        <x:v>1872</x:v>
      </x:c>
      <x:c r="I27" s="12" t="n">
        <x:v>1</x:v>
      </x:c>
      <x:c r="J27" s="12" t="n">
        <x:v>175</x:v>
      </x:c>
      <x:c r="K27" s="3" t="str">
        <x:v>Вс</x:v>
      </x:c>
      <x:c r="L27" s="8" t="n">
        <x:v>30.1</x:v>
      </x:c>
      <x:c r="M27" s="32" t="n">
        <x:v>8092.5</x:v>
      </x:c>
    </x:row>
    <x:row r="28" ht="23" customHeight="1">
      <x:c r="A28" s="11" t="n">
        <x:v>10023</x:v>
      </x:c>
      <x:c r="B28" s="31" t="n">
        <x:v>60.7</x:v>
      </x:c>
      <x:c r="C28" s="31" t="n">
        <x:v>39.3</x:v>
      </x:c>
      <x:c r="D28" s="11" t="n">
        <x:v>2</x:v>
      </x:c>
      <x:c r="E28" s="11" t="n">
        <x:v>24</x:v>
      </x:c>
      <x:c r="F28" s="11" t="n">
        <x:v>1975</x:v>
      </x:c>
      <x:c r="G28" s="31" t="n">
        <x:v>5.9</x:v>
      </x:c>
      <x:c r="H28" s="11" t="n">
        <x:v>451</x:v>
      </x:c>
      <x:c r="I28" s="11" t="n">
        <x:v>6</x:v>
      </x:c>
      <x:c r="J28" s="11" t="n">
        <x:v>150</x:v>
      </x:c>
      <x:c r="K28" s="9" t="str">
        <x:v>Ср</x:v>
      </x:c>
      <x:c r="L28" s="10" t="n">
        <x:v>55.1</x:v>
      </x:c>
      <x:c r="M28" s="31" t="n">
        <x:v>12463.5</x:v>
      </x:c>
    </x:row>
    <x:row r="29" ht="23" customHeight="1">
      <x:c r="A29" s="12" t="n">
        <x:v>10024</x:v>
      </x:c>
      <x:c r="B29" s="32" t="n">
        <x:v>69</x:v>
      </x:c>
      <x:c r="C29" s="32" t="n">
        <x:v>40.6</x:v>
      </x:c>
      <x:c r="D29" s="12" t="n">
        <x:v>2</x:v>
      </x:c>
      <x:c r="E29" s="12" t="n">
        <x:v>21</x:v>
      </x:c>
      <x:c r="F29" s="12" t="n">
        <x:v>1996</x:v>
      </x:c>
      <x:c r="G29" s="32" t="n">
        <x:v>11.5</x:v>
      </x:c>
      <x:c r="H29" s="12" t="n">
        <x:v>852</x:v>
      </x:c>
      <x:c r="I29" s="12" t="n">
        <x:v>7</x:v>
      </x:c>
      <x:c r="J29" s="12" t="n">
        <x:v>886</x:v>
      </x:c>
      <x:c r="K29" s="3" t="str">
        <x:v>Чт</x:v>
      </x:c>
      <x:c r="L29" s="8" t="n">
        <x:v>27.48</x:v>
      </x:c>
      <x:c r="M29" s="32" t="n">
        <x:v>13585</x:v>
      </x:c>
    </x:row>
    <x:row r="30" ht="23" customHeight="1">
      <x:c r="A30" s="11" t="n">
        <x:v>10025</x:v>
      </x:c>
      <x:c r="B30" s="31" t="n">
        <x:v>79.1</x:v>
      </x:c>
      <x:c r="C30" s="31" t="n">
        <x:v>44.7</x:v>
      </x:c>
      <x:c r="D30" s="11" t="n">
        <x:v>3</x:v>
      </x:c>
      <x:c r="E30" s="11" t="n">
        <x:v>3</x:v>
      </x:c>
      <x:c r="F30" s="11" t="n">
        <x:v>2022</x:v>
      </x:c>
      <x:c r="G30" s="31" t="n">
        <x:v>15.1</x:v>
      </x:c>
      <x:c r="H30" s="11" t="n">
        <x:v>1159</x:v>
      </x:c>
      <x:c r="I30" s="11" t="n">
        <x:v>8</x:v>
      </x:c>
      <x:c r="J30" s="11" t="n">
        <x:v>248</x:v>
      </x:c>
      <x:c r="K30" s="9" t="str">
        <x:v>Пт</x:v>
      </x:c>
      <x:c r="L30" s="10" t="n">
        <x:v>44</x:v>
      </x:c>
      <x:c r="M30" s="31" t="n">
        <x:v>16431.3</x:v>
      </x:c>
    </x:row>
    <x:row r="31" ht="23" customHeight="1">
      <x:c r="A31" s="12" t="n">
        <x:v>10026</x:v>
      </x:c>
      <x:c r="B31" s="32" t="n">
        <x:v>115.9</x:v>
      </x:c>
      <x:c r="C31" s="32" t="n">
        <x:v>72.3</x:v>
      </x:c>
      <x:c r="D31" s="12" t="n">
        <x:v>4</x:v>
      </x:c>
      <x:c r="E31" s="12" t="n">
        <x:v>23</x:v>
      </x:c>
      <x:c r="F31" s="12" t="n">
        <x:v>1971</x:v>
      </x:c>
      <x:c r="G31" s="32" t="n">
        <x:v>32.3</x:v>
      </x:c>
      <x:c r="H31" s="12" t="n">
        <x:v>2619</x:v>
      </x:c>
      <x:c r="I31" s="12" t="n">
        <x:v>7</x:v>
      </x:c>
      <x:c r="J31" s="12" t="n">
        <x:v>830</x:v>
      </x:c>
      <x:c r="K31" s="3" t="str">
        <x:v>Пн</x:v>
      </x:c>
      <x:c r="L31" s="8" t="n">
        <x:v>37.81</x:v>
      </x:c>
      <x:c r="M31" s="32" t="n">
        <x:v>18009.2</x:v>
      </x:c>
    </x:row>
    <x:row r="32" ht="23" customHeight="1">
      <x:c r="A32" s="11" t="n">
        <x:v>10027</x:v>
      </x:c>
      <x:c r="B32" s="31" t="n">
        <x:v>50.4</x:v>
      </x:c>
      <x:c r="C32" s="31" t="n">
        <x:v>33.9</x:v>
      </x:c>
      <x:c r="D32" s="11" t="n">
        <x:v>1</x:v>
      </x:c>
      <x:c r="E32" s="11" t="n">
        <x:v>7</x:v>
      </x:c>
      <x:c r="F32" s="11" t="n">
        <x:v>1998</x:v>
      </x:c>
      <x:c r="G32" s="31" t="n">
        <x:v>34.8</x:v>
      </x:c>
      <x:c r="H32" s="11" t="n">
        <x:v>2719</x:v>
      </x:c>
      <x:c r="I32" s="11" t="n">
        <x:v>6</x:v>
      </x:c>
      <x:c r="J32" s="11" t="n">
        <x:v>221</x:v>
      </x:c>
      <x:c r="K32" s="9" t="str">
        <x:v>Вт</x:v>
      </x:c>
      <x:c r="L32" s="10" t="n">
        <x:v>47.37</x:v>
      </x:c>
      <x:c r="M32" s="31" t="n">
        <x:v>8143.3</x:v>
      </x:c>
    </x:row>
    <x:row r="33" ht="23" customHeight="1">
      <x:c r="A33" s="12" t="n">
        <x:v>10028</x:v>
      </x:c>
      <x:c r="B33" s="32" t="n">
        <x:v>85.6</x:v>
      </x:c>
      <x:c r="C33" s="32" t="n">
        <x:v>45.5</x:v>
      </x:c>
      <x:c r="D33" s="12" t="n">
        <x:v>3</x:v>
      </x:c>
      <x:c r="E33" s="12" t="n">
        <x:v>17</x:v>
      </x:c>
      <x:c r="F33" s="12" t="n">
        <x:v>2007</x:v>
      </x:c>
      <x:c r="G33" s="32" t="n">
        <x:v>3.5</x:v>
      </x:c>
      <x:c r="H33" s="12" t="n">
        <x:v>200</x:v>
      </x:c>
      <x:c r="I33" s="12" t="n">
        <x:v>9</x:v>
      </x:c>
      <x:c r="J33" s="12" t="n">
        <x:v>310</x:v>
      </x:c>
      <x:c r="K33" s="3" t="str">
        <x:v>Сб</x:v>
      </x:c>
      <x:c r="L33" s="8" t="n">
        <x:v>61.96</x:v>
      </x:c>
      <x:c r="M33" s="32" t="n">
        <x:v>18397.2</x:v>
      </x:c>
    </x:row>
    <x:row r="34" ht="23" customHeight="1">
      <x:c r="A34" s="11" t="n">
        <x:v>10029</x:v>
      </x:c>
      <x:c r="B34" s="31" t="n">
        <x:v>94.4</x:v>
      </x:c>
      <x:c r="C34" s="31" t="n">
        <x:v>56.5</x:v>
      </x:c>
      <x:c r="D34" s="11" t="n">
        <x:v>4</x:v>
      </x:c>
      <x:c r="E34" s="11" t="n">
        <x:v>12</x:v>
      </x:c>
      <x:c r="F34" s="11" t="n">
        <x:v>1972</x:v>
      </x:c>
      <x:c r="G34" s="31" t="n">
        <x:v>27.1</x:v>
      </x:c>
      <x:c r="H34" s="11" t="n">
        <x:v>2136</x:v>
      </x:c>
      <x:c r="I34" s="11" t="n">
        <x:v>3</x:v>
      </x:c>
      <x:c r="J34" s="11" t="n">
        <x:v>379</x:v>
      </x:c>
      <x:c r="K34" s="9" t="str">
        <x:v>Ср</x:v>
      </x:c>
      <x:c r="L34" s="10" t="n">
        <x:v>42.65</x:v>
      </x:c>
      <x:c r="M34" s="31" t="n">
        <x:v>16279.6</x:v>
      </x:c>
    </x:row>
    <x:row r="35" ht="23" customHeight="1">
      <x:c r="A35" s="12" t="n">
        <x:v>10030</x:v>
      </x:c>
      <x:c r="B35" s="32" t="n">
        <x:v>33.2</x:v>
      </x:c>
      <x:c r="C35" s="32" t="n">
        <x:v>19.2</x:v>
      </x:c>
      <x:c r="D35" s="12" t="n">
        <x:v>2</x:v>
      </x:c>
      <x:c r="E35" s="12" t="n">
        <x:v>9</x:v>
      </x:c>
      <x:c r="F35" s="12" t="n">
        <x:v>1985</x:v>
      </x:c>
      <x:c r="G35" s="32" t="n">
        <x:v>14.3</x:v>
      </x:c>
      <x:c r="H35" s="12" t="n">
        <x:v>1181</x:v>
      </x:c>
      <x:c r="I35" s="12" t="n">
        <x:v>6</x:v>
      </x:c>
      <x:c r="J35" s="12" t="n">
        <x:v>637</x:v>
      </x:c>
      <x:c r="K35" s="3" t="str">
        <x:v>Пт</x:v>
      </x:c>
      <x:c r="L35" s="8" t="n">
        <x:v>54.72</x:v>
      </x:c>
      <x:c r="M35" s="32" t="n">
        <x:v>7019.2</x:v>
      </x:c>
    </x:row>
    <x:row r="36" ht="23" customHeight="1">
      <x:c r="A36" s="11" t="n">
        <x:v>10031</x:v>
      </x:c>
      <x:c r="B36" s="31" t="n">
        <x:v>96</x:v>
      </x:c>
      <x:c r="C36" s="31" t="n">
        <x:v>57</x:v>
      </x:c>
      <x:c r="D36" s="11" t="n">
        <x:v>5</x:v>
      </x:c>
      <x:c r="E36" s="11" t="n">
        <x:v>15</x:v>
      </x:c>
      <x:c r="F36" s="11" t="n">
        <x:v>1999</x:v>
      </x:c>
      <x:c r="G36" s="31" t="n">
        <x:v>15</x:v>
      </x:c>
      <x:c r="H36" s="11" t="n">
        <x:v>1190</x:v>
      </x:c>
      <x:c r="I36" s="11" t="n">
        <x:v>4</x:v>
      </x:c>
      <x:c r="J36" s="11" t="n">
        <x:v>784</x:v>
      </x:c>
      <x:c r="K36" s="9" t="str">
        <x:v>Сб</x:v>
      </x:c>
      <x:c r="L36" s="10" t="n">
        <x:v>61.09</x:v>
      </x:c>
      <x:c r="M36" s="31" t="n">
        <x:v>17854.4</x:v>
      </x:c>
    </x:row>
    <x:row r="37" ht="23" customHeight="1">
      <x:c r="A37" s="12" t="n">
        <x:v>10032</x:v>
      </x:c>
      <x:c r="B37" s="32" t="n">
        <x:v>47.1</x:v>
      </x:c>
      <x:c r="C37" s="32" t="n">
        <x:v>31.5</x:v>
      </x:c>
      <x:c r="D37" s="12" t="n">
        <x:v>2</x:v>
      </x:c>
      <x:c r="E37" s="12" t="n">
        <x:v>18</x:v>
      </x:c>
      <x:c r="F37" s="12" t="n">
        <x:v>2009</x:v>
      </x:c>
      <x:c r="G37" s="32" t="n">
        <x:v>26.9</x:v>
      </x:c>
      <x:c r="H37" s="12" t="n">
        <x:v>2129</x:v>
      </x:c>
      <x:c r="I37" s="12" t="n">
        <x:v>2</x:v>
      </x:c>
      <x:c r="J37" s="12" t="n">
        <x:v>255</x:v>
      </x:c>
      <x:c r="K37" s="3" t="str">
        <x:v>Ср</x:v>
      </x:c>
      <x:c r="L37" s="8" t="n">
        <x:v>40.89</x:v>
      </x:c>
      <x:c r="M37" s="32" t="n">
        <x:v>9766.8</x:v>
      </x:c>
    </x:row>
    <x:row r="38" ht="23" customHeight="1">
      <x:c r="A38" s="11" t="n">
        <x:v>10033</x:v>
      </x:c>
      <x:c r="B38" s="31" t="n">
        <x:v>35.3</x:v>
      </x:c>
      <x:c r="C38" s="31" t="n">
        <x:v>23.7</x:v>
      </x:c>
      <x:c r="D38" s="11" t="n">
        <x:v>1</x:v>
      </x:c>
      <x:c r="E38" s="11" t="n">
        <x:v>21</x:v>
      </x:c>
      <x:c r="F38" s="11" t="n">
        <x:v>1971</x:v>
      </x:c>
      <x:c r="G38" s="31" t="n">
        <x:v>32.3</x:v>
      </x:c>
      <x:c r="H38" s="11" t="n">
        <x:v>2586</x:v>
      </x:c>
      <x:c r="I38" s="11" t="n">
        <x:v>1</x:v>
      </x:c>
      <x:c r="J38" s="11" t="n">
        <x:v>337</x:v>
      </x:c>
      <x:c r="K38" s="9" t="str">
        <x:v>Вс</x:v>
      </x:c>
      <x:c r="L38" s="10" t="n">
        <x:v>41.11</x:v>
      </x:c>
      <x:c r="M38" s="31" t="n">
        <x:v>4561.4</x:v>
      </x:c>
    </x:row>
    <x:row r="39" ht="23" customHeight="1">
      <x:c r="A39" s="12" t="n">
        <x:v>10034</x:v>
      </x:c>
      <x:c r="B39" s="32" t="n">
        <x:v>134.3</x:v>
      </x:c>
      <x:c r="C39" s="32" t="n">
        <x:v>81.9</x:v>
      </x:c>
      <x:c r="D39" s="12" t="n">
        <x:v>5</x:v>
      </x:c>
      <x:c r="E39" s="12" t="n">
        <x:v>13</x:v>
      </x:c>
      <x:c r="F39" s="12" t="n">
        <x:v>1986</x:v>
      </x:c>
      <x:c r="G39" s="32" t="n">
        <x:v>33.4</x:v>
      </x:c>
      <x:c r="H39" s="12" t="n">
        <x:v>2585</x:v>
      </x:c>
      <x:c r="I39" s="12" t="n">
        <x:v>1</x:v>
      </x:c>
      <x:c r="J39" s="12" t="n">
        <x:v>475</x:v>
      </x:c>
      <x:c r="K39" s="3" t="str">
        <x:v>Вс</x:v>
      </x:c>
      <x:c r="L39" s="8" t="n">
        <x:v>70.54</x:v>
      </x:c>
      <x:c r="M39" s="32" t="n">
        <x:v>23085.9</x:v>
      </x:c>
    </x:row>
    <x:row r="40" ht="23" customHeight="1">
      <x:c r="A40" s="11" t="n">
        <x:v>10035</x:v>
      </x:c>
      <x:c r="B40" s="31" t="n">
        <x:v>136.2</x:v>
      </x:c>
      <x:c r="C40" s="31" t="n">
        <x:v>93</x:v>
      </x:c>
      <x:c r="D40" s="11" t="n">
        <x:v>5</x:v>
      </x:c>
      <x:c r="E40" s="11" t="n">
        <x:v>21</x:v>
      </x:c>
      <x:c r="F40" s="11" t="n">
        <x:v>2010</x:v>
      </x:c>
      <x:c r="G40" s="31" t="n">
        <x:v>21</x:v>
      </x:c>
      <x:c r="H40" s="11" t="n">
        <x:v>1705</x:v>
      </x:c>
      <x:c r="I40" s="11" t="n">
        <x:v>3</x:v>
      </x:c>
      <x:c r="J40" s="11" t="n">
        <x:v>181</x:v>
      </x:c>
      <x:c r="K40" s="9" t="str">
        <x:v>Сб</x:v>
      </x:c>
      <x:c r="L40" s="10" t="n">
        <x:v>48.81</x:v>
      </x:c>
      <x:c r="M40" s="31" t="n">
        <x:v>25062.4</x:v>
      </x:c>
    </x:row>
    <x:row r="41" ht="23" customHeight="1">
      <x:c r="A41" s="12" t="n">
        <x:v>10036</x:v>
      </x:c>
      <x:c r="B41" s="32" t="n">
        <x:v>118.5</x:v>
      </x:c>
      <x:c r="C41" s="32" t="n">
        <x:v>65.3</x:v>
      </x:c>
      <x:c r="D41" s="12" t="n">
        <x:v>5</x:v>
      </x:c>
      <x:c r="E41" s="12" t="n">
        <x:v>8</x:v>
      </x:c>
      <x:c r="F41" s="12" t="n">
        <x:v>1981</x:v>
      </x:c>
      <x:c r="G41" s="32" t="n">
        <x:v>13.8</x:v>
      </x:c>
      <x:c r="H41" s="12" t="n">
        <x:v>1123</x:v>
      </x:c>
      <x:c r="I41" s="12" t="n">
        <x:v>4</x:v>
      </x:c>
      <x:c r="J41" s="12" t="n">
        <x:v>591</x:v>
      </x:c>
      <x:c r="K41" s="3" t="str">
        <x:v>Вт</x:v>
      </x:c>
      <x:c r="L41" s="8" t="n">
        <x:v>57.64</x:v>
      </x:c>
      <x:c r="M41" s="32" t="n">
        <x:v>21233.6</x:v>
      </x:c>
    </x:row>
    <x:row r="42" ht="23" customHeight="1">
      <x:c r="A42" s="11" t="n">
        <x:v>10037</x:v>
      </x:c>
      <x:c r="B42" s="31" t="n">
        <x:v>62.1</x:v>
      </x:c>
      <x:c r="C42" s="31" t="n">
        <x:v>39.3</x:v>
      </x:c>
      <x:c r="D42" s="11" t="n">
        <x:v>2</x:v>
      </x:c>
      <x:c r="E42" s="11" t="n">
        <x:v>14</x:v>
      </x:c>
      <x:c r="F42" s="11" t="n">
        <x:v>2004</x:v>
      </x:c>
      <x:c r="G42" s="31" t="n">
        <x:v>28</x:v>
      </x:c>
      <x:c r="H42" s="11" t="n">
        <x:v>2220</x:v>
      </x:c>
      <x:c r="I42" s="11" t="n">
        <x:v>2</x:v>
      </x:c>
      <x:c r="J42" s="11" t="n">
        <x:v>455</x:v>
      </x:c>
      <x:c r="K42" s="9" t="str">
        <x:v>Пт</x:v>
      </x:c>
      <x:c r="L42" s="10" t="n">
        <x:v>57.52</x:v>
      </x:c>
      <x:c r="M42" s="31" t="n">
        <x:v>11087.1</x:v>
      </x:c>
    </x:row>
    <x:row r="43" ht="23" customHeight="1">
      <x:c r="A43" s="12" t="n">
        <x:v>10038</x:v>
      </x:c>
      <x:c r="B43" s="32" t="n">
        <x:v>38.9</x:v>
      </x:c>
      <x:c r="C43" s="32" t="n">
        <x:v>24.6</x:v>
      </x:c>
      <x:c r="D43" s="12" t="n">
        <x:v>2</x:v>
      </x:c>
      <x:c r="E43" s="12" t="n">
        <x:v>8</x:v>
      </x:c>
      <x:c r="F43" s="12" t="n">
        <x:v>2012</x:v>
      </x:c>
      <x:c r="G43" s="32" t="n">
        <x:v>10.3</x:v>
      </x:c>
      <x:c r="H43" s="12" t="n">
        <x:v>874</x:v>
      </x:c>
      <x:c r="I43" s="12" t="n">
        <x:v>1</x:v>
      </x:c>
      <x:c r="J43" s="12" t="n">
        <x:v>372</x:v>
      </x:c>
      <x:c r="K43" s="3" t="str">
        <x:v>Пт</x:v>
      </x:c>
      <x:c r="L43" s="8" t="n">
        <x:v>32.03</x:v>
      </x:c>
      <x:c r="M43" s="32" t="n">
        <x:v>9441.5</x:v>
      </x:c>
    </x:row>
    <x:row r="44" ht="23" customHeight="1">
      <x:c r="A44" s="11" t="n">
        <x:v>10039</x:v>
      </x:c>
      <x:c r="B44" s="31" t="n">
        <x:v>104.6</x:v>
      </x:c>
      <x:c r="C44" s="31" t="n">
        <x:v>65.7</x:v>
      </x:c>
      <x:c r="D44" s="11" t="n">
        <x:v>4</x:v>
      </x:c>
      <x:c r="E44" s="11" t="n">
        <x:v>14</x:v>
      </x:c>
      <x:c r="F44" s="11" t="n">
        <x:v>1970</x:v>
      </x:c>
      <x:c r="G44" s="31" t="n">
        <x:v>20.6</x:v>
      </x:c>
      <x:c r="H44" s="11" t="n">
        <x:v>1592</x:v>
      </x:c>
      <x:c r="I44" s="11" t="n">
        <x:v>4</x:v>
      </x:c>
      <x:c r="J44" s="11" t="n">
        <x:v>679</x:v>
      </x:c>
      <x:c r="K44" s="9" t="str">
        <x:v>Вс</x:v>
      </x:c>
      <x:c r="L44" s="10" t="n">
        <x:v>38.59</x:v>
      </x:c>
      <x:c r="M44" s="31" t="n">
        <x:v>18040</x:v>
      </x:c>
    </x:row>
    <x:row r="45" ht="23" customHeight="1">
      <x:c r="A45" s="12" t="n">
        <x:v>10040</x:v>
      </x:c>
      <x:c r="B45" s="32" t="n">
        <x:v>77.3</x:v>
      </x:c>
      <x:c r="C45" s="32" t="n">
        <x:v>54.7</x:v>
      </x:c>
      <x:c r="D45" s="12" t="n">
        <x:v>3</x:v>
      </x:c>
      <x:c r="E45" s="12" t="n">
        <x:v>7</x:v>
      </x:c>
      <x:c r="F45" s="12" t="n">
        <x:v>2014</x:v>
      </x:c>
      <x:c r="G45" s="32" t="n">
        <x:v>13.8</x:v>
      </x:c>
      <x:c r="H45" s="12" t="n">
        <x:v>1160</x:v>
      </x:c>
      <x:c r="I45" s="12" t="n">
        <x:v>7</x:v>
      </x:c>
      <x:c r="J45" s="12" t="n">
        <x:v>143</x:v>
      </x:c>
      <x:c r="K45" s="3" t="str">
        <x:v>Ср</x:v>
      </x:c>
      <x:c r="L45" s="8" t="n">
        <x:v>55.63</x:v>
      </x:c>
      <x:c r="M45" s="32" t="n">
        <x:v>16065.5</x:v>
      </x:c>
    </x:row>
    <x:row r="46" ht="23" customHeight="1">
      <x:c r="A46" s="11" t="n">
        <x:v>10041</x:v>
      </x:c>
      <x:c r="B46" s="31" t="n">
        <x:v>41.7</x:v>
      </x:c>
      <x:c r="C46" s="31" t="n">
        <x:v>29.7</x:v>
      </x:c>
      <x:c r="D46" s="11" t="n">
        <x:v>1</x:v>
      </x:c>
      <x:c r="E46" s="11" t="n">
        <x:v>23</x:v>
      </x:c>
      <x:c r="F46" s="11" t="n">
        <x:v>1984</x:v>
      </x:c>
      <x:c r="G46" s="31" t="n">
        <x:v>23.7</x:v>
      </x:c>
      <x:c r="H46" s="11" t="n">
        <x:v>1904</x:v>
      </x:c>
      <x:c r="I46" s="11" t="n">
        <x:v>6</x:v>
      </x:c>
      <x:c r="J46" s="11" t="n">
        <x:v>672</x:v>
      </x:c>
      <x:c r="K46" s="9" t="str">
        <x:v>Сб</x:v>
      </x:c>
      <x:c r="L46" s="10" t="n">
        <x:v>18.99</x:v>
      </x:c>
      <x:c r="M46" s="31" t="n">
        <x:v>7627.6</x:v>
      </x:c>
    </x:row>
    <x:row r="47" ht="23" customHeight="1">
      <x:c r="A47" s="12" t="n">
        <x:v>10042</x:v>
      </x:c>
      <x:c r="B47" s="32" t="n">
        <x:v>83.5</x:v>
      </x:c>
      <x:c r="C47" s="32" t="n">
        <x:v>47.6</x:v>
      </x:c>
      <x:c r="D47" s="12" t="n">
        <x:v>3</x:v>
      </x:c>
      <x:c r="E47" s="12" t="n">
        <x:v>12</x:v>
      </x:c>
      <x:c r="F47" s="12" t="n">
        <x:v>1995</x:v>
      </x:c>
      <x:c r="G47" s="32" t="n">
        <x:v>9.9</x:v>
      </x:c>
      <x:c r="H47" s="12" t="n">
        <x:v>775</x:v>
      </x:c>
      <x:c r="I47" s="12" t="n">
        <x:v>6</x:v>
      </x:c>
      <x:c r="J47" s="12" t="n">
        <x:v>222</x:v>
      </x:c>
      <x:c r="K47" s="3" t="str">
        <x:v>Вт</x:v>
      </x:c>
      <x:c r="L47" s="8" t="n">
        <x:v>46.83</x:v>
      </x:c>
      <x:c r="M47" s="32" t="n">
        <x:v>15854</x:v>
      </x:c>
    </x:row>
    <x:row r="48" ht="23" customHeight="1">
      <x:c r="A48" s="11" t="n">
        <x:v>10043</x:v>
      </x:c>
      <x:c r="B48" s="31" t="n">
        <x:v>31.9</x:v>
      </x:c>
      <x:c r="C48" s="31" t="n">
        <x:v>22.3</x:v>
      </x:c>
      <x:c r="D48" s="11" t="n">
        <x:v>1</x:v>
      </x:c>
      <x:c r="E48" s="11" t="n">
        <x:v>11</x:v>
      </x:c>
      <x:c r="F48" s="11" t="n">
        <x:v>2006</x:v>
      </x:c>
      <x:c r="G48" s="31" t="n">
        <x:v>8.3</x:v>
      </x:c>
      <x:c r="H48" s="11" t="n">
        <x:v>663</x:v>
      </x:c>
      <x:c r="I48" s="11" t="n">
        <x:v>9</x:v>
      </x:c>
      <x:c r="J48" s="11" t="n">
        <x:v>448</x:v>
      </x:c>
      <x:c r="K48" s="9" t="str">
        <x:v>Пн</x:v>
      </x:c>
      <x:c r="L48" s="10" t="n">
        <x:v>37.02</x:v>
      </x:c>
      <x:c r="M48" s="31" t="n">
        <x:v>8258.1</x:v>
      </x:c>
    </x:row>
    <x:row r="49" ht="23" customHeight="1">
      <x:c r="A49" s="12" t="n">
        <x:v>10044</x:v>
      </x:c>
      <x:c r="B49" s="32" t="n">
        <x:v>129.8</x:v>
      </x:c>
      <x:c r="C49" s="32" t="n">
        <x:v>71</x:v>
      </x:c>
      <x:c r="D49" s="12" t="n">
        <x:v>5</x:v>
      </x:c>
      <x:c r="E49" s="12" t="n">
        <x:v>22</x:v>
      </x:c>
      <x:c r="F49" s="12" t="n">
        <x:v>1990</x:v>
      </x:c>
      <x:c r="G49" s="32" t="n">
        <x:v>32.3</x:v>
      </x:c>
      <x:c r="H49" s="12" t="n">
        <x:v>2579</x:v>
      </x:c>
      <x:c r="I49" s="12" t="n">
        <x:v>2</x:v>
      </x:c>
      <x:c r="J49" s="12" t="n">
        <x:v>807</x:v>
      </x:c>
      <x:c r="K49" s="3" t="str">
        <x:v>Пт</x:v>
      </x:c>
      <x:c r="L49" s="8" t="n">
        <x:v>66.66</x:v>
      </x:c>
      <x:c r="M49" s="32" t="n">
        <x:v>21693.5</x:v>
      </x:c>
    </x:row>
    <x:row r="50" ht="23" customHeight="1">
      <x:c r="A50" s="11" t="n">
        <x:v>10045</x:v>
      </x:c>
      <x:c r="B50" s="31" t="n">
        <x:v>57</x:v>
      </x:c>
      <x:c r="C50" s="31" t="n">
        <x:v>30.2</x:v>
      </x:c>
      <x:c r="D50" s="11" t="n">
        <x:v>2</x:v>
      </x:c>
      <x:c r="E50" s="11" t="n">
        <x:v>22</x:v>
      </x:c>
      <x:c r="F50" s="11" t="n">
        <x:v>2018</x:v>
      </x:c>
      <x:c r="G50" s="31" t="n">
        <x:v>5.4</x:v>
      </x:c>
      <x:c r="H50" s="11" t="n">
        <x:v>493</x:v>
      </x:c>
      <x:c r="I50" s="11" t="n">
        <x:v>4</x:v>
      </x:c>
      <x:c r="J50" s="11" t="n">
        <x:v>429</x:v>
      </x:c>
      <x:c r="K50" s="9" t="str">
        <x:v>Пн</x:v>
      </x:c>
      <x:c r="L50" s="10" t="n">
        <x:v>55.19</x:v>
      </x:c>
      <x:c r="M50" s="31" t="n">
        <x:v>13164.3</x:v>
      </x:c>
    </x:row>
    <x:row r="51" ht="23" customHeight="1">
      <x:c r="A51" s="12" t="n">
        <x:v>10046</x:v>
      </x:c>
      <x:c r="B51" s="32" t="n">
        <x:v>102.2</x:v>
      </x:c>
      <x:c r="C51" s="32" t="n">
        <x:v>61.8</x:v>
      </x:c>
      <x:c r="D51" s="12" t="n">
        <x:v>4</x:v>
      </x:c>
      <x:c r="E51" s="12" t="n">
        <x:v>11</x:v>
      </x:c>
      <x:c r="F51" s="12" t="n">
        <x:v>2000</x:v>
      </x:c>
      <x:c r="G51" s="32" t="n">
        <x:v>18.7</x:v>
      </x:c>
      <x:c r="H51" s="12" t="n">
        <x:v>1442</x:v>
      </x:c>
      <x:c r="I51" s="12" t="n">
        <x:v>5</x:v>
      </x:c>
      <x:c r="J51" s="12" t="n">
        <x:v>508</x:v>
      </x:c>
      <x:c r="K51" s="3" t="str">
        <x:v>Вт</x:v>
      </x:c>
      <x:c r="L51" s="8" t="n">
        <x:v>67.87</x:v>
      </x:c>
      <x:c r="M51" s="32" t="n">
        <x:v>19014.7</x:v>
      </x:c>
    </x:row>
    <x:row r="52" ht="23" customHeight="1">
      <x:c r="A52" s="11" t="n">
        <x:v>10047</x:v>
      </x:c>
      <x:c r="B52" s="31" t="n">
        <x:v>62.9</x:v>
      </x:c>
      <x:c r="C52" s="31" t="n">
        <x:v>36.9</x:v>
      </x:c>
      <x:c r="D52" s="11" t="n">
        <x:v>2</x:v>
      </x:c>
      <x:c r="E52" s="11" t="n">
        <x:v>25</x:v>
      </x:c>
      <x:c r="F52" s="11" t="n">
        <x:v>1994</x:v>
      </x:c>
      <x:c r="G52" s="31" t="n">
        <x:v>9.3</x:v>
      </x:c>
      <x:c r="H52" s="11" t="n">
        <x:v>706</x:v>
      </x:c>
      <x:c r="I52" s="11" t="n">
        <x:v>1</x:v>
      </x:c>
      <x:c r="J52" s="11" t="n">
        <x:v>422</x:v>
      </x:c>
      <x:c r="K52" s="9" t="str">
        <x:v>Вс</x:v>
      </x:c>
      <x:c r="L52" s="10" t="n">
        <x:v>49.41</x:v>
      </x:c>
      <x:c r="M52" s="31" t="n">
        <x:v>13009.1</x:v>
      </x:c>
    </x:row>
    <x:row r="53" ht="23" customHeight="1">
      <x:c r="A53" s="12" t="n">
        <x:v>10048</x:v>
      </x:c>
      <x:c r="B53" s="32" t="n">
        <x:v>86.2</x:v>
      </x:c>
      <x:c r="C53" s="32" t="n">
        <x:v>52.3</x:v>
      </x:c>
      <x:c r="D53" s="12" t="n">
        <x:v>4</x:v>
      </x:c>
      <x:c r="E53" s="12" t="n">
        <x:v>22</x:v>
      </x:c>
      <x:c r="F53" s="12" t="n">
        <x:v>1992</x:v>
      </x:c>
      <x:c r="G53" s="32" t="n">
        <x:v>3.3</x:v>
      </x:c>
      <x:c r="H53" s="12" t="n">
        <x:v>316</x:v>
      </x:c>
      <x:c r="I53" s="12" t="n">
        <x:v>8</x:v>
      </x:c>
      <x:c r="J53" s="12" t="n">
        <x:v>210</x:v>
      </x:c>
      <x:c r="K53" s="3" t="str">
        <x:v>Пт</x:v>
      </x:c>
      <x:c r="L53" s="8" t="n">
        <x:v>48.29</x:v>
      </x:c>
      <x:c r="M53" s="32" t="n">
        <x:v>16960.2</x:v>
      </x:c>
    </x:row>
    <x:row r="54" ht="23" customHeight="1">
      <x:c r="A54" s="11" t="n">
        <x:v>10049</x:v>
      </x:c>
      <x:c r="B54" s="31" t="n">
        <x:v>89.2</x:v>
      </x:c>
      <x:c r="C54" s="31" t="n">
        <x:v>57</x:v>
      </x:c>
      <x:c r="D54" s="11" t="n">
        <x:v>2</x:v>
      </x:c>
      <x:c r="E54" s="11" t="n">
        <x:v>13</x:v>
      </x:c>
      <x:c r="F54" s="11" t="n">
        <x:v>1993</x:v>
      </x:c>
      <x:c r="G54" s="31" t="n">
        <x:v>3.2</x:v>
      </x:c>
      <x:c r="H54" s="11" t="n">
        <x:v>226</x:v>
      </x:c>
      <x:c r="I54" s="11" t="n">
        <x:v>8</x:v>
      </x:c>
      <x:c r="J54" s="11" t="n">
        <x:v>869</x:v>
      </x:c>
      <x:c r="K54" s="9" t="str">
        <x:v>Пт</x:v>
      </x:c>
      <x:c r="L54" s="10" t="n">
        <x:v>45.43</x:v>
      </x:c>
      <x:c r="M54" s="31" t="n">
        <x:v>18718</x:v>
      </x:c>
    </x:row>
    <x:row r="55" ht="23" customHeight="1">
      <x:c r="A55" s="12" t="n">
        <x:v>10050</x:v>
      </x:c>
      <x:c r="B55" s="32" t="n">
        <x:v>48.7</x:v>
      </x:c>
      <x:c r="C55" s="32" t="n">
        <x:v>36.5</x:v>
      </x:c>
      <x:c r="D55" s="12" t="n">
        <x:v>2</x:v>
      </x:c>
      <x:c r="E55" s="12" t="n">
        <x:v>18</x:v>
      </x:c>
      <x:c r="F55" s="12" t="n">
        <x:v>2007</x:v>
      </x:c>
      <x:c r="G55" s="32" t="n">
        <x:v>7.8</x:v>
      </x:c>
      <x:c r="H55" s="12" t="n">
        <x:v>669</x:v>
      </x:c>
      <x:c r="I55" s="12" t="n">
        <x:v>6</x:v>
      </x:c>
      <x:c r="J55" s="12" t="n">
        <x:v>188</x:v>
      </x:c>
      <x:c r="K55" s="3" t="str">
        <x:v>Сб</x:v>
      </x:c>
      <x:c r="L55" s="8" t="n">
        <x:v>42.45</x:v>
      </x:c>
      <x:c r="M55" s="32" t="n">
        <x:v>12048.1</x:v>
      </x:c>
    </x:row>
    <x:row r="56" ht="23" customHeight="1">
      <x:c r="A56" s="11" t="n">
        <x:v>10051</x:v>
      </x:c>
      <x:c r="B56" s="31" t="n">
        <x:v>136.6</x:v>
      </x:c>
      <x:c r="C56" s="31" t="n">
        <x:v>82.8</x:v>
      </x:c>
      <x:c r="D56" s="11" t="n">
        <x:v>5</x:v>
      </x:c>
      <x:c r="E56" s="11" t="n">
        <x:v>2</x:v>
      </x:c>
      <x:c r="F56" s="11" t="n">
        <x:v>1997</x:v>
      </x:c>
      <x:c r="G56" s="31" t="n">
        <x:v>30.6</x:v>
      </x:c>
      <x:c r="H56" s="11" t="n">
        <x:v>2533</x:v>
      </x:c>
      <x:c r="I56" s="11" t="n">
        <x:v>5</x:v>
      </x:c>
      <x:c r="J56" s="11" t="n">
        <x:v>532</x:v>
      </x:c>
      <x:c r="K56" s="9" t="str">
        <x:v>Пн</x:v>
      </x:c>
      <x:c r="L56" s="10" t="n">
        <x:v>90.27</x:v>
      </x:c>
      <x:c r="M56" s="31" t="n">
        <x:v>24765.8</x:v>
      </x:c>
    </x:row>
    <x:row r="57" ht="23" customHeight="1">
      <x:c r="A57" s="12" t="n">
        <x:v>10052</x:v>
      </x:c>
      <x:c r="B57" s="32" t="n">
        <x:v>114.8</x:v>
      </x:c>
      <x:c r="C57" s="32" t="n">
        <x:v>70.2</x:v>
      </x:c>
      <x:c r="D57" s="12" t="n">
        <x:v>4</x:v>
      </x:c>
      <x:c r="E57" s="12" t="n">
        <x:v>21</x:v>
      </x:c>
      <x:c r="F57" s="12" t="n">
        <x:v>1990</x:v>
      </x:c>
      <x:c r="G57" s="32" t="n">
        <x:v>11.3</x:v>
      </x:c>
      <x:c r="H57" s="12" t="n">
        <x:v>884</x:v>
      </x:c>
      <x:c r="I57" s="12" t="n">
        <x:v>8</x:v>
      </x:c>
      <x:c r="J57" s="12" t="n">
        <x:v>809</x:v>
      </x:c>
      <x:c r="K57" s="3" t="str">
        <x:v>Вс</x:v>
      </x:c>
      <x:c r="L57" s="8" t="n">
        <x:v>62.11</x:v>
      </x:c>
      <x:c r="M57" s="32" t="n">
        <x:v>22352.9</x:v>
      </x:c>
    </x:row>
    <x:row r="58" ht="23" customHeight="1">
      <x:c r="A58" s="11" t="n">
        <x:v>10053</x:v>
      </x:c>
      <x:c r="B58" s="31" t="n">
        <x:v>133.2</x:v>
      </x:c>
      <x:c r="C58" s="31" t="n">
        <x:v>76.5</x:v>
      </x:c>
      <x:c r="D58" s="11" t="n">
        <x:v>5</x:v>
      </x:c>
      <x:c r="E58" s="11" t="n">
        <x:v>15</x:v>
      </x:c>
      <x:c r="F58" s="11" t="n">
        <x:v>2023</x:v>
      </x:c>
      <x:c r="G58" s="31" t="n">
        <x:v>33.4</x:v>
      </x:c>
      <x:c r="H58" s="11" t="n">
        <x:v>2706</x:v>
      </x:c>
      <x:c r="I58" s="11" t="n">
        <x:v>3</x:v>
      </x:c>
      <x:c r="J58" s="11" t="n">
        <x:v>893</x:v>
      </x:c>
      <x:c r="K58" s="9" t="str">
        <x:v>Сб</x:v>
      </x:c>
      <x:c r="L58" s="10" t="n">
        <x:v>34.01</x:v>
      </x:c>
      <x:c r="M58" s="31" t="n">
        <x:v>24144</x:v>
      </x:c>
    </x:row>
    <x:row r="59" ht="23" customHeight="1">
      <x:c r="A59" s="12" t="n">
        <x:v>10054</x:v>
      </x:c>
      <x:c r="B59" s="32" t="n">
        <x:v>128.2</x:v>
      </x:c>
      <x:c r="C59" s="32" t="n">
        <x:v>74</x:v>
      </x:c>
      <x:c r="D59" s="12" t="n">
        <x:v>5</x:v>
      </x:c>
      <x:c r="E59" s="12" t="n">
        <x:v>20</x:v>
      </x:c>
      <x:c r="F59" s="12" t="n">
        <x:v>2012</x:v>
      </x:c>
      <x:c r="G59" s="32" t="n">
        <x:v>21.2</x:v>
      </x:c>
      <x:c r="H59" s="12" t="n">
        <x:v>1638</x:v>
      </x:c>
      <x:c r="I59" s="12" t="n">
        <x:v>3</x:v>
      </x:c>
      <x:c r="J59" s="12" t="n">
        <x:v>811</x:v>
      </x:c>
      <x:c r="K59" s="3" t="str">
        <x:v>Чт</x:v>
      </x:c>
      <x:c r="L59" s="8" t="n">
        <x:v>89.59</x:v>
      </x:c>
      <x:c r="M59" s="32" t="n">
        <x:v>24025.3</x:v>
      </x:c>
    </x:row>
    <x:row r="60" ht="23" customHeight="1">
      <x:c r="A60" s="11" t="n">
        <x:v>10055</x:v>
      </x:c>
      <x:c r="B60" s="31" t="n">
        <x:v>95</x:v>
      </x:c>
      <x:c r="C60" s="31" t="n">
        <x:v>59.9</x:v>
      </x:c>
      <x:c r="D60" s="11" t="n">
        <x:v>3</x:v>
      </x:c>
      <x:c r="E60" s="11" t="n">
        <x:v>18</x:v>
      </x:c>
      <x:c r="F60" s="11" t="n">
        <x:v>1987</x:v>
      </x:c>
      <x:c r="G60" s="31" t="n">
        <x:v>16.4</x:v>
      </x:c>
      <x:c r="H60" s="11" t="n">
        <x:v>1350</x:v>
      </x:c>
      <x:c r="I60" s="11" t="n">
        <x:v>2</x:v>
      </x:c>
      <x:c r="J60" s="11" t="n">
        <x:v>198</x:v>
      </x:c>
      <x:c r="K60" s="9" t="str">
        <x:v>Пн</x:v>
      </x:c>
      <x:c r="L60" s="10" t="n">
        <x:v>43.93</x:v>
      </x:c>
      <x:c r="M60" s="31" t="n">
        <x:v>17481.4</x:v>
      </x:c>
    </x:row>
    <x:row r="61" ht="23" customHeight="1">
      <x:c r="A61" s="12" t="n">
        <x:v>10056</x:v>
      </x:c>
      <x:c r="B61" s="32" t="n">
        <x:v>131.2</x:v>
      </x:c>
      <x:c r="C61" s="32" t="n">
        <x:v>78.9</x:v>
      </x:c>
      <x:c r="D61" s="12" t="n">
        <x:v>5</x:v>
      </x:c>
      <x:c r="E61" s="12" t="n">
        <x:v>15</x:v>
      </x:c>
      <x:c r="F61" s="12" t="n">
        <x:v>2005</x:v>
      </x:c>
      <x:c r="G61" s="32" t="n">
        <x:v>21.1</x:v>
      </x:c>
      <x:c r="H61" s="12" t="n">
        <x:v>1698</x:v>
      </x:c>
      <x:c r="I61" s="12" t="n">
        <x:v>5</x:v>
      </x:c>
      <x:c r="J61" s="12" t="n">
        <x:v>638</x:v>
      </x:c>
      <x:c r="K61" s="3" t="str">
        <x:v>Пн</x:v>
      </x:c>
      <x:c r="L61" s="8" t="n">
        <x:v>54.82</x:v>
      </x:c>
      <x:c r="M61" s="32" t="n">
        <x:v>25224</x:v>
      </x:c>
    </x:row>
    <x:row r="62" ht="23" customHeight="1">
      <x:c r="A62" s="11" t="n">
        <x:v>10057</x:v>
      </x:c>
      <x:c r="B62" s="31" t="n">
        <x:v>37.9</x:v>
      </x:c>
      <x:c r="C62" s="31" t="n">
        <x:v>28.8</x:v>
      </x:c>
      <x:c r="D62" s="11" t="n">
        <x:v>1</x:v>
      </x:c>
      <x:c r="E62" s="11" t="n">
        <x:v>19</x:v>
      </x:c>
      <x:c r="F62" s="11" t="n">
        <x:v>2004</x:v>
      </x:c>
      <x:c r="G62" s="31" t="n">
        <x:v>19.1</x:v>
      </x:c>
      <x:c r="H62" s="11" t="n">
        <x:v>1552</x:v>
      </x:c>
      <x:c r="I62" s="11" t="n">
        <x:v>3</x:v>
      </x:c>
      <x:c r="J62" s="11" t="n">
        <x:v>700</x:v>
      </x:c>
      <x:c r="K62" s="9" t="str">
        <x:v>Чт</x:v>
      </x:c>
      <x:c r="L62" s="10" t="n">
        <x:v>64.09</x:v>
      </x:c>
      <x:c r="M62" s="31" t="n">
        <x:v>8176</x:v>
      </x:c>
    </x:row>
    <x:row r="63" ht="23" customHeight="1">
      <x:c r="A63" s="12" t="n">
        <x:v>10058</x:v>
      </x:c>
      <x:c r="B63" s="32" t="n">
        <x:v>50</x:v>
      </x:c>
      <x:c r="C63" s="32" t="n">
        <x:v>31.1</x:v>
      </x:c>
      <x:c r="D63" s="12" t="n">
        <x:v>3</x:v>
      </x:c>
      <x:c r="E63" s="12" t="n">
        <x:v>23</x:v>
      </x:c>
      <x:c r="F63" s="12" t="n">
        <x:v>2014</x:v>
      </x:c>
      <x:c r="G63" s="32" t="n">
        <x:v>27</x:v>
      </x:c>
      <x:c r="H63" s="12" t="n">
        <x:v>2128</x:v>
      </x:c>
      <x:c r="I63" s="12" t="n">
        <x:v>3</x:v>
      </x:c>
      <x:c r="J63" s="12" t="n">
        <x:v>245</x:v>
      </x:c>
      <x:c r="K63" s="3" t="str">
        <x:v>Вт</x:v>
      </x:c>
      <x:c r="L63" s="8" t="n">
        <x:v>26.93</x:v>
      </x:c>
      <x:c r="M63" s="32" t="n">
        <x:v>10696.2</x:v>
      </x:c>
    </x:row>
    <x:row r="64" ht="23" customHeight="1">
      <x:c r="A64" s="11" t="n">
        <x:v>10059</x:v>
      </x:c>
      <x:c r="B64" s="31" t="n">
        <x:v>33.1</x:v>
      </x:c>
      <x:c r="C64" s="31" t="n">
        <x:v>19.3</x:v>
      </x:c>
      <x:c r="D64" s="11" t="n">
        <x:v>2</x:v>
      </x:c>
      <x:c r="E64" s="11" t="n">
        <x:v>24</x:v>
      </x:c>
      <x:c r="F64" s="11" t="n">
        <x:v>1978</x:v>
      </x:c>
      <x:c r="G64" s="31" t="n">
        <x:v>11.3</x:v>
      </x:c>
      <x:c r="H64" s="11" t="n">
        <x:v>821</x:v>
      </x:c>
      <x:c r="I64" s="11" t="n">
        <x:v>6</x:v>
      </x:c>
      <x:c r="J64" s="11" t="n">
        <x:v>793</x:v>
      </x:c>
      <x:c r="K64" s="9" t="str">
        <x:v>Вт</x:v>
      </x:c>
      <x:c r="L64" s="10" t="n">
        <x:v>37.59</x:v>
      </x:c>
      <x:c r="M64" s="31" t="n">
        <x:v>7595.1</x:v>
      </x:c>
    </x:row>
    <x:row r="65" ht="23" customHeight="1">
      <x:c r="A65" s="12" t="n">
        <x:v>10060</x:v>
      </x:c>
      <x:c r="B65" s="32" t="n">
        <x:v>64.4</x:v>
      </x:c>
      <x:c r="C65" s="32" t="n">
        <x:v>38.5</x:v>
      </x:c>
      <x:c r="D65" s="12" t="n">
        <x:v>3</x:v>
      </x:c>
      <x:c r="E65" s="12" t="n">
        <x:v>12</x:v>
      </x:c>
      <x:c r="F65" s="12" t="n">
        <x:v>2022</x:v>
      </x:c>
      <x:c r="G65" s="32" t="n">
        <x:v>13.7</x:v>
      </x:c>
      <x:c r="H65" s="12" t="n">
        <x:v>1121</x:v>
      </x:c>
      <x:c r="I65" s="12" t="n">
        <x:v>8</x:v>
      </x:c>
      <x:c r="J65" s="12" t="n">
        <x:v>356</x:v>
      </x:c>
      <x:c r="K65" s="3" t="str">
        <x:v>Пт</x:v>
      </x:c>
      <x:c r="L65" s="8" t="n">
        <x:v>74.72</x:v>
      </x:c>
      <x:c r="M65" s="32" t="n">
        <x:v>14133.8</x:v>
      </x:c>
    </x:row>
    <x:row r="66" ht="23" customHeight="1">
      <x:c r="A66" s="11" t="n">
        <x:v>10061</x:v>
      </x:c>
      <x:c r="B66" s="31" t="n">
        <x:v>71.5</x:v>
      </x:c>
      <x:c r="C66" s="31" t="n">
        <x:v>41.8</x:v>
      </x:c>
      <x:c r="D66" s="11" t="n">
        <x:v>3</x:v>
      </x:c>
      <x:c r="E66" s="11" t="n">
        <x:v>13</x:v>
      </x:c>
      <x:c r="F66" s="11" t="n">
        <x:v>2007</x:v>
      </x:c>
      <x:c r="G66" s="31" t="n">
        <x:v>31.5</x:v>
      </x:c>
      <x:c r="H66" s="11" t="n">
        <x:v>2417</x:v>
      </x:c>
      <x:c r="I66" s="11" t="n">
        <x:v>2</x:v>
      </x:c>
      <x:c r="J66" s="11" t="n">
        <x:v>288</x:v>
      </x:c>
      <x:c r="K66" s="9" t="str">
        <x:v>Ср</x:v>
      </x:c>
      <x:c r="L66" s="10" t="n">
        <x:v>46.63</x:v>
      </x:c>
      <x:c r="M66" s="31" t="n">
        <x:v>12291.8</x:v>
      </x:c>
    </x:row>
    <x:row r="67" ht="23" customHeight="1">
      <x:c r="A67" s="12" t="n">
        <x:v>10062</x:v>
      </x:c>
      <x:c r="B67" s="32" t="n">
        <x:v>58.4</x:v>
      </x:c>
      <x:c r="C67" s="32" t="n">
        <x:v>32.3</x:v>
      </x:c>
      <x:c r="D67" s="12" t="n">
        <x:v>2</x:v>
      </x:c>
      <x:c r="E67" s="12" t="n">
        <x:v>22</x:v>
      </x:c>
      <x:c r="F67" s="12" t="n">
        <x:v>1999</x:v>
      </x:c>
      <x:c r="G67" s="32" t="n">
        <x:v>33.2</x:v>
      </x:c>
      <x:c r="H67" s="12" t="n">
        <x:v>2640</x:v>
      </x:c>
      <x:c r="I67" s="12" t="n">
        <x:v>4</x:v>
      </x:c>
      <x:c r="J67" s="12" t="n">
        <x:v>339</x:v>
      </x:c>
      <x:c r="K67" s="3" t="str">
        <x:v>Сб</x:v>
      </x:c>
      <x:c r="L67" s="8" t="n">
        <x:v>64.98</x:v>
      </x:c>
      <x:c r="M67" s="32" t="n">
        <x:v>10268.7</x:v>
      </x:c>
    </x:row>
    <x:row r="68" ht="23" customHeight="1">
      <x:c r="A68" s="11" t="n">
        <x:v>10063</x:v>
      </x:c>
      <x:c r="B68" s="31" t="n">
        <x:v>120.8</x:v>
      </x:c>
      <x:c r="C68" s="31" t="n">
        <x:v>80.1</x:v>
      </x:c>
      <x:c r="D68" s="11" t="n">
        <x:v>5</x:v>
      </x:c>
      <x:c r="E68" s="11" t="n">
        <x:v>11</x:v>
      </x:c>
      <x:c r="F68" s="11" t="n">
        <x:v>2013</x:v>
      </x:c>
      <x:c r="G68" s="31" t="n">
        <x:v>31.5</x:v>
      </x:c>
      <x:c r="H68" s="11" t="n">
        <x:v>2567</x:v>
      </x:c>
      <x:c r="I68" s="11" t="n">
        <x:v>7</x:v>
      </x:c>
      <x:c r="J68" s="11" t="n">
        <x:v>970</x:v>
      </x:c>
      <x:c r="K68" s="9" t="str">
        <x:v>Ср</x:v>
      </x:c>
      <x:c r="L68" s="10" t="n">
        <x:v>43.2</x:v>
      </x:c>
      <x:c r="M68" s="31" t="n">
        <x:v>21868.6</x:v>
      </x:c>
    </x:row>
    <x:row r="69" ht="23" customHeight="1">
      <x:c r="A69" s="12" t="n">
        <x:v>10064</x:v>
      </x:c>
      <x:c r="B69" s="32" t="n">
        <x:v>68</x:v>
      </x:c>
      <x:c r="C69" s="32" t="n">
        <x:v>40.7</x:v>
      </x:c>
      <x:c r="D69" s="12" t="n">
        <x:v>3</x:v>
      </x:c>
      <x:c r="E69" s="12" t="n">
        <x:v>5</x:v>
      </x:c>
      <x:c r="F69" s="12" t="n">
        <x:v>2003</x:v>
      </x:c>
      <x:c r="G69" s="32" t="n">
        <x:v>15.8</x:v>
      </x:c>
      <x:c r="H69" s="12" t="n">
        <x:v>1274</x:v>
      </x:c>
      <x:c r="I69" s="12" t="n">
        <x:v>1</x:v>
      </x:c>
      <x:c r="J69" s="12" t="n">
        <x:v>998</x:v>
      </x:c>
      <x:c r="K69" s="3" t="str">
        <x:v>Пт</x:v>
      </x:c>
      <x:c r="L69" s="8" t="n">
        <x:v>48.57</x:v>
      </x:c>
      <x:c r="M69" s="32" t="n">
        <x:v>14059.1</x:v>
      </x:c>
    </x:row>
    <x:row r="70" ht="23" customHeight="1">
      <x:c r="A70" s="11" t="n">
        <x:v>10065</x:v>
      </x:c>
      <x:c r="B70" s="31" t="n">
        <x:v>59.5</x:v>
      </x:c>
      <x:c r="C70" s="31" t="n">
        <x:v>39.5</x:v>
      </x:c>
      <x:c r="D70" s="11" t="n">
        <x:v>2</x:v>
      </x:c>
      <x:c r="E70" s="11" t="n">
        <x:v>1</x:v>
      </x:c>
      <x:c r="F70" s="11" t="n">
        <x:v>2001</x:v>
      </x:c>
      <x:c r="G70" s="31" t="n">
        <x:v>27.8</x:v>
      </x:c>
      <x:c r="H70" s="11" t="n">
        <x:v>2321</x:v>
      </x:c>
      <x:c r="I70" s="11" t="n">
        <x:v>1</x:v>
      </x:c>
      <x:c r="J70" s="11" t="n">
        <x:v>602</x:v>
      </x:c>
      <x:c r="K70" s="9" t="str">
        <x:v>Ср</x:v>
      </x:c>
      <x:c r="L70" s="10" t="n">
        <x:v>76.78</x:v>
      </x:c>
      <x:c r="M70" s="31" t="n">
        <x:v>10695.3</x:v>
      </x:c>
    </x:row>
    <x:row r="71" ht="23" customHeight="1">
      <x:c r="A71" s="12" t="n">
        <x:v>10066</x:v>
      </x:c>
      <x:c r="B71" s="32" t="n">
        <x:v>88.8</x:v>
      </x:c>
      <x:c r="C71" s="32" t="n">
        <x:v>51</x:v>
      </x:c>
      <x:c r="D71" s="12" t="n">
        <x:v>4</x:v>
      </x:c>
      <x:c r="E71" s="12" t="n">
        <x:v>24</x:v>
      </x:c>
      <x:c r="F71" s="12" t="n">
        <x:v>1972</x:v>
      </x:c>
      <x:c r="G71" s="32" t="n">
        <x:v>17.7</x:v>
      </x:c>
      <x:c r="H71" s="12" t="n">
        <x:v>1467</x:v>
      </x:c>
      <x:c r="I71" s="12" t="n">
        <x:v>7</x:v>
      </x:c>
      <x:c r="J71" s="12" t="n">
        <x:v>807</x:v>
      </x:c>
      <x:c r="K71" s="3" t="str">
        <x:v>Пн</x:v>
      </x:c>
      <x:c r="L71" s="8" t="n">
        <x:v>56.56</x:v>
      </x:c>
      <x:c r="M71" s="32" t="n">
        <x:v>15384.6</x:v>
      </x:c>
    </x:row>
    <x:row r="72" ht="23" customHeight="1">
      <x:c r="A72" s="11" t="n">
        <x:v>10067</x:v>
      </x:c>
      <x:c r="B72" s="31" t="n">
        <x:v>43.8</x:v>
      </x:c>
      <x:c r="C72" s="31" t="n">
        <x:v>27.3</x:v>
      </x:c>
      <x:c r="D72" s="11" t="n">
        <x:v>2</x:v>
      </x:c>
      <x:c r="E72" s="11" t="n">
        <x:v>3</x:v>
      </x:c>
      <x:c r="F72" s="11" t="n">
        <x:v>1972</x:v>
      </x:c>
      <x:c r="G72" s="31" t="n">
        <x:v>18.4</x:v>
      </x:c>
      <x:c r="H72" s="11" t="n">
        <x:v>1439</x:v>
      </x:c>
      <x:c r="I72" s="11" t="n">
        <x:v>7</x:v>
      </x:c>
      <x:c r="J72" s="11" t="n">
        <x:v>908</x:v>
      </x:c>
      <x:c r="K72" s="9" t="str">
        <x:v>Пн</x:v>
      </x:c>
      <x:c r="L72" s="10" t="n">
        <x:v>44.83</x:v>
      </x:c>
      <x:c r="M72" s="31" t="n">
        <x:v>8011.6</x:v>
      </x:c>
    </x:row>
    <x:row r="73" ht="23" customHeight="1">
      <x:c r="A73" s="12" t="n">
        <x:v>10068</x:v>
      </x:c>
      <x:c r="B73" s="32" t="n">
        <x:v>117.8</x:v>
      </x:c>
      <x:c r="C73" s="32" t="n">
        <x:v>72</x:v>
      </x:c>
      <x:c r="D73" s="12" t="n">
        <x:v>5</x:v>
      </x:c>
      <x:c r="E73" s="12" t="n">
        <x:v>22</x:v>
      </x:c>
      <x:c r="F73" s="12" t="n">
        <x:v>1997</x:v>
      </x:c>
      <x:c r="G73" s="32" t="n">
        <x:v>8.8</x:v>
      </x:c>
      <x:c r="H73" s="12" t="n">
        <x:v>705</x:v>
      </x:c>
      <x:c r="I73" s="12" t="n">
        <x:v>1</x:v>
      </x:c>
      <x:c r="J73" s="12" t="n">
        <x:v>776</x:v>
      </x:c>
      <x:c r="K73" s="3" t="str">
        <x:v>Чт</x:v>
      </x:c>
      <x:c r="L73" s="8" t="n">
        <x:v>39.75</x:v>
      </x:c>
      <x:c r="M73" s="32" t="n">
        <x:v>22831.6</x:v>
      </x:c>
    </x:row>
    <x:row r="74" ht="23" customHeight="1">
      <x:c r="A74" s="11" t="n">
        <x:v>10069</x:v>
      </x:c>
      <x:c r="B74" s="31" t="n">
        <x:v>36.3</x:v>
      </x:c>
      <x:c r="C74" s="31" t="n">
        <x:v>25.4</x:v>
      </x:c>
      <x:c r="D74" s="11" t="n">
        <x:v>2</x:v>
      </x:c>
      <x:c r="E74" s="11" t="n">
        <x:v>19</x:v>
      </x:c>
      <x:c r="F74" s="11" t="n">
        <x:v>2013</x:v>
      </x:c>
      <x:c r="G74" s="31" t="n">
        <x:v>21.5</x:v>
      </x:c>
      <x:c r="H74" s="11" t="n">
        <x:v>1718</x:v>
      </x:c>
      <x:c r="I74" s="11" t="n">
        <x:v>1</x:v>
      </x:c>
      <x:c r="J74" s="11" t="n">
        <x:v>918</x:v>
      </x:c>
      <x:c r="K74" s="9" t="str">
        <x:v>Чт</x:v>
      </x:c>
      <x:c r="L74" s="10" t="n">
        <x:v>41.12</x:v>
      </x:c>
      <x:c r="M74" s="31" t="n">
        <x:v>6979.6</x:v>
      </x:c>
    </x:row>
    <x:row r="75" ht="23" customHeight="1">
      <x:c r="A75" s="12" t="n">
        <x:v>10070</x:v>
      </x:c>
      <x:c r="B75" s="32" t="n">
        <x:v>138.5</x:v>
      </x:c>
      <x:c r="C75" s="32" t="n">
        <x:v>86.5</x:v>
      </x:c>
      <x:c r="D75" s="12" t="n">
        <x:v>5</x:v>
      </x:c>
      <x:c r="E75" s="12" t="n">
        <x:v>23</x:v>
      </x:c>
      <x:c r="F75" s="12" t="n">
        <x:v>1984</x:v>
      </x:c>
      <x:c r="G75" s="32" t="n">
        <x:v>8.1</x:v>
      </x:c>
      <x:c r="H75" s="12" t="n">
        <x:v>569</x:v>
      </x:c>
      <x:c r="I75" s="12" t="n">
        <x:v>4</x:v>
      </x:c>
      <x:c r="J75" s="12" t="n">
        <x:v>370</x:v>
      </x:c>
      <x:c r="K75" s="3" t="str">
        <x:v>Пт</x:v>
      </x:c>
      <x:c r="L75" s="8" t="n">
        <x:v>68.62</x:v>
      </x:c>
      <x:c r="M75" s="32" t="n">
        <x:v>26204.2</x:v>
      </x:c>
    </x:row>
    <x:row r="76" ht="23" customHeight="1">
      <x:c r="A76" s="11" t="n">
        <x:v>10071</x:v>
      </x:c>
      <x:c r="B76" s="31" t="n">
        <x:v>114.5</x:v>
      </x:c>
      <x:c r="C76" s="31" t="n">
        <x:v>74.2</x:v>
      </x:c>
      <x:c r="D76" s="11" t="n">
        <x:v>4</x:v>
      </x:c>
      <x:c r="E76" s="11" t="n">
        <x:v>7</x:v>
      </x:c>
      <x:c r="F76" s="11" t="n">
        <x:v>2010</x:v>
      </x:c>
      <x:c r="G76" s="31" t="n">
        <x:v>12.9</x:v>
      </x:c>
      <x:c r="H76" s="11" t="n">
        <x:v>985</x:v>
      </x:c>
      <x:c r="I76" s="11" t="n">
        <x:v>5</x:v>
      </x:c>
      <x:c r="J76" s="11" t="n">
        <x:v>619</x:v>
      </x:c>
      <x:c r="K76" s="9" t="str">
        <x:v>Пт</x:v>
      </x:c>
      <x:c r="L76" s="10" t="n">
        <x:v>61.48</x:v>
      </x:c>
      <x:c r="M76" s="31" t="n">
        <x:v>22477.3</x:v>
      </x:c>
    </x:row>
    <x:row r="77" ht="23" customHeight="1">
      <x:c r="A77" s="12" t="n">
        <x:v>10072</x:v>
      </x:c>
      <x:c r="B77" s="32" t="n">
        <x:v>50.3</x:v>
      </x:c>
      <x:c r="C77" s="32" t="n">
        <x:v>28.6</x:v>
      </x:c>
      <x:c r="D77" s="12" t="n">
        <x:v>3</x:v>
      </x:c>
      <x:c r="E77" s="12" t="n">
        <x:v>12</x:v>
      </x:c>
      <x:c r="F77" s="12" t="n">
        <x:v>1992</x:v>
      </x:c>
      <x:c r="G77" s="32" t="n">
        <x:v>30.2</x:v>
      </x:c>
      <x:c r="H77" s="12" t="n">
        <x:v>2388</x:v>
      </x:c>
      <x:c r="I77" s="12" t="n">
        <x:v>5</x:v>
      </x:c>
      <x:c r="J77" s="12" t="n">
        <x:v>649</x:v>
      </x:c>
      <x:c r="K77" s="3" t="str">
        <x:v>Вс</x:v>
      </x:c>
      <x:c r="L77" s="8" t="n">
        <x:v>32.77</x:v>
      </x:c>
      <x:c r="M77" s="32" t="n">
        <x:v>8284.2</x:v>
      </x:c>
    </x:row>
    <x:row r="78" ht="23" customHeight="1">
      <x:c r="A78" s="11" t="n">
        <x:v>10073</x:v>
      </x:c>
      <x:c r="B78" s="31" t="n">
        <x:v>28.6</x:v>
      </x:c>
      <x:c r="C78" s="31" t="n">
        <x:v>18.2</x:v>
      </x:c>
      <x:c r="D78" s="11" t="n">
        <x:v>1</x:v>
      </x:c>
      <x:c r="E78" s="11" t="n">
        <x:v>15</x:v>
      </x:c>
      <x:c r="F78" s="11" t="n">
        <x:v>2009</x:v>
      </x:c>
      <x:c r="G78" s="31" t="n">
        <x:v>8.8</x:v>
      </x:c>
      <x:c r="H78" s="11" t="n">
        <x:v>602</x:v>
      </x:c>
      <x:c r="I78" s="11" t="n">
        <x:v>4</x:v>
      </x:c>
      <x:c r="J78" s="11" t="n">
        <x:v>213</x:v>
      </x:c>
      <x:c r="K78" s="9" t="str">
        <x:v>Пт</x:v>
      </x:c>
      <x:c r="L78" s="10" t="n">
        <x:v>51.31</x:v>
      </x:c>
      <x:c r="M78" s="31" t="n">
        <x:v>7637.6</x:v>
      </x:c>
    </x:row>
    <x:row r="79" ht="23" customHeight="1">
      <x:c r="A79" s="12" t="n">
        <x:v>10074</x:v>
      </x:c>
      <x:c r="B79" s="32" t="n">
        <x:v>119.3</x:v>
      </x:c>
      <x:c r="C79" s="32" t="n">
        <x:v>67.5</x:v>
      </x:c>
      <x:c r="D79" s="12" t="n">
        <x:v>5</x:v>
      </x:c>
      <x:c r="E79" s="12" t="n">
        <x:v>25</x:v>
      </x:c>
      <x:c r="F79" s="12" t="n">
        <x:v>1980</x:v>
      </x:c>
      <x:c r="G79" s="32" t="n">
        <x:v>4.3</x:v>
      </x:c>
      <x:c r="H79" s="12" t="n">
        <x:v>346</x:v>
      </x:c>
      <x:c r="I79" s="12" t="n">
        <x:v>8</x:v>
      </x:c>
      <x:c r="J79" s="12" t="n">
        <x:v>438</x:v>
      </x:c>
      <x:c r="K79" s="3" t="str">
        <x:v>Пн</x:v>
      </x:c>
      <x:c r="L79" s="8" t="n">
        <x:v>49</x:v>
      </x:c>
      <x:c r="M79" s="32" t="n">
        <x:v>23215</x:v>
      </x:c>
    </x:row>
    <x:row r="80" ht="23" customHeight="1">
      <x:c r="A80" s="11" t="n">
        <x:v>10075</x:v>
      </x:c>
      <x:c r="B80" s="31" t="n">
        <x:v>107.2</x:v>
      </x:c>
      <x:c r="C80" s="31" t="n">
        <x:v>70.4</x:v>
      </x:c>
      <x:c r="D80" s="11" t="n">
        <x:v>5</x:v>
      </x:c>
      <x:c r="E80" s="11" t="n">
        <x:v>5</x:v>
      </x:c>
      <x:c r="F80" s="11" t="n">
        <x:v>2017</x:v>
      </x:c>
      <x:c r="G80" s="31" t="n">
        <x:v>4.3</x:v>
      </x:c>
      <x:c r="H80" s="11" t="n">
        <x:v>332</x:v>
      </x:c>
      <x:c r="I80" s="11" t="n">
        <x:v>7</x:v>
      </x:c>
      <x:c r="J80" s="11" t="n">
        <x:v>667</x:v>
      </x:c>
      <x:c r="K80" s="9" t="str">
        <x:v>Ср</x:v>
      </x:c>
      <x:c r="L80" s="10" t="n">
        <x:v>54.74</x:v>
      </x:c>
      <x:c r="M80" s="31" t="n">
        <x:v>22215.8</x:v>
      </x:c>
    </x:row>
    <x:row r="81" ht="23" customHeight="1">
      <x:c r="A81" s="12" t="n">
        <x:v>10076</x:v>
      </x:c>
      <x:c r="B81" s="32" t="n">
        <x:v>109.6</x:v>
      </x:c>
      <x:c r="C81" s="32" t="n">
        <x:v>73.3</x:v>
      </x:c>
      <x:c r="D81" s="12" t="n">
        <x:v>4</x:v>
      </x:c>
      <x:c r="E81" s="12" t="n">
        <x:v>15</x:v>
      </x:c>
      <x:c r="F81" s="12" t="n">
        <x:v>2001</x:v>
      </x:c>
      <x:c r="G81" s="32" t="n">
        <x:v>33</x:v>
      </x:c>
      <x:c r="H81" s="12" t="n">
        <x:v>2556</x:v>
      </x:c>
      <x:c r="I81" s="12" t="n">
        <x:v>9</x:v>
      </x:c>
      <x:c r="J81" s="12" t="n">
        <x:v>458</x:v>
      </x:c>
      <x:c r="K81" s="3" t="str">
        <x:v>Сб</x:v>
      </x:c>
      <x:c r="L81" s="8" t="n">
        <x:v>40.95</x:v>
      </x:c>
      <x:c r="M81" s="32" t="n">
        <x:v>18536.8</x:v>
      </x:c>
    </x:row>
    <x:row r="82" ht="23" customHeight="1">
      <x:c r="A82" s="11" t="n">
        <x:v>10077</x:v>
      </x:c>
      <x:c r="B82" s="31" t="n">
        <x:v>114.4</x:v>
      </x:c>
      <x:c r="C82" s="31" t="n">
        <x:v>76.1</x:v>
      </x:c>
      <x:c r="D82" s="11" t="n">
        <x:v>5</x:v>
      </x:c>
      <x:c r="E82" s="11" t="n">
        <x:v>8</x:v>
      </x:c>
      <x:c r="F82" s="11" t="n">
        <x:v>2023</x:v>
      </x:c>
      <x:c r="G82" s="31" t="n">
        <x:v>18.7</x:v>
      </x:c>
      <x:c r="H82" s="11" t="n">
        <x:v>1516</x:v>
      </x:c>
      <x:c r="I82" s="11" t="n">
        <x:v>7</x:v>
      </x:c>
      <x:c r="J82" s="11" t="n">
        <x:v>749</x:v>
      </x:c>
      <x:c r="K82" s="9" t="str">
        <x:v>Вс</x:v>
      </x:c>
      <x:c r="L82" s="10" t="n">
        <x:v>66.47</x:v>
      </x:c>
      <x:c r="M82" s="31" t="n">
        <x:v>22852.6</x:v>
      </x:c>
    </x:row>
    <x:row r="83" ht="23" customHeight="1">
      <x:c r="A83" s="12" t="n">
        <x:v>10078</x:v>
      </x:c>
      <x:c r="B83" s="32" t="n">
        <x:v>36.3</x:v>
      </x:c>
      <x:c r="C83" s="32" t="n">
        <x:v>22</x:v>
      </x:c>
      <x:c r="D83" s="12" t="n">
        <x:v>1</x:v>
      </x:c>
      <x:c r="E83" s="12" t="n">
        <x:v>10</x:v>
      </x:c>
      <x:c r="F83" s="12" t="n">
        <x:v>2005</x:v>
      </x:c>
      <x:c r="G83" s="32" t="n">
        <x:v>15.5</x:v>
      </x:c>
      <x:c r="H83" s="12" t="n">
        <x:v>1276</x:v>
      </x:c>
      <x:c r="I83" s="12" t="n">
        <x:v>1</x:v>
      </x:c>
      <x:c r="J83" s="12" t="n">
        <x:v>713</x:v>
      </x:c>
      <x:c r="K83" s="3" t="str">
        <x:v>Вс</x:v>
      </x:c>
      <x:c r="L83" s="8" t="n">
        <x:v>49.98</x:v>
      </x:c>
      <x:c r="M83" s="32" t="n">
        <x:v>8922.8</x:v>
      </x:c>
    </x:row>
    <x:row r="84" ht="23" customHeight="1">
      <x:c r="A84" s="11" t="n">
        <x:v>10079</x:v>
      </x:c>
      <x:c r="B84" s="31" t="n">
        <x:v>68.1</x:v>
      </x:c>
      <x:c r="C84" s="31" t="n">
        <x:v>39.1</x:v>
      </x:c>
      <x:c r="D84" s="11" t="n">
        <x:v>3</x:v>
      </x:c>
      <x:c r="E84" s="11" t="n">
        <x:v>16</x:v>
      </x:c>
      <x:c r="F84" s="11" t="n">
        <x:v>2002</x:v>
      </x:c>
      <x:c r="G84" s="31" t="n">
        <x:v>28.8</x:v>
      </x:c>
      <x:c r="H84" s="11" t="n">
        <x:v>2315</x:v>
      </x:c>
      <x:c r="I84" s="11" t="n">
        <x:v>7</x:v>
      </x:c>
      <x:c r="J84" s="11" t="n">
        <x:v>433</x:v>
      </x:c>
      <x:c r="K84" s="9" t="str">
        <x:v>Вс</x:v>
      </x:c>
      <x:c r="L84" s="10" t="n">
        <x:v>55.6</x:v>
      </x:c>
      <x:c r="M84" s="31" t="n">
        <x:v>12211.9</x:v>
      </x:c>
    </x:row>
    <x:row r="85" ht="23" customHeight="1">
      <x:c r="A85" s="12" t="n">
        <x:v>10080</x:v>
      </x:c>
      <x:c r="B85" s="32" t="n">
        <x:v>41</x:v>
      </x:c>
      <x:c r="C85" s="32" t="n">
        <x:v>22.9</x:v>
      </x:c>
      <x:c r="D85" s="12" t="n">
        <x:v>2</x:v>
      </x:c>
      <x:c r="E85" s="12" t="n">
        <x:v>8</x:v>
      </x:c>
      <x:c r="F85" s="12" t="n">
        <x:v>1993</x:v>
      </x:c>
      <x:c r="G85" s="32" t="n">
        <x:v>29.6</x:v>
      </x:c>
      <x:c r="H85" s="12" t="n">
        <x:v>2352</x:v>
      </x:c>
      <x:c r="I85" s="12" t="n">
        <x:v>1</x:v>
      </x:c>
      <x:c r="J85" s="12" t="n">
        <x:v>788</x:v>
      </x:c>
      <x:c r="K85" s="3" t="str">
        <x:v>Пт</x:v>
      </x:c>
      <x:c r="L85" s="8" t="n">
        <x:v>38.23</x:v>
      </x:c>
      <x:c r="M85" s="32" t="n">
        <x:v>6198.6</x:v>
      </x:c>
    </x:row>
    <x:row r="86" ht="23" customHeight="1">
      <x:c r="A86" s="11" t="n">
        <x:v>10081</x:v>
      </x:c>
      <x:c r="B86" s="31" t="n">
        <x:v>124.7</x:v>
      </x:c>
      <x:c r="C86" s="31" t="n">
        <x:v>83.9</x:v>
      </x:c>
      <x:c r="D86" s="11" t="n">
        <x:v>5</x:v>
      </x:c>
      <x:c r="E86" s="11" t="n">
        <x:v>1</x:v>
      </x:c>
      <x:c r="F86" s="11" t="n">
        <x:v>2008</x:v>
      </x:c>
      <x:c r="G86" s="31" t="n">
        <x:v>13</x:v>
      </x:c>
      <x:c r="H86" s="11" t="n">
        <x:v>1070</x:v>
      </x:c>
      <x:c r="I86" s="11" t="n">
        <x:v>7</x:v>
      </x:c>
      <x:c r="J86" s="11" t="n">
        <x:v>268</x:v>
      </x:c>
      <x:c r="K86" s="9" t="str">
        <x:v>Пт</x:v>
      </x:c>
      <x:c r="L86" s="10" t="n">
        <x:v>38.99</x:v>
      </x:c>
      <x:c r="M86" s="31" t="n">
        <x:v>24164.5</x:v>
      </x:c>
    </x:row>
    <x:row r="87" ht="23" customHeight="1">
      <x:c r="A87" s="12" t="n">
        <x:v>10082</x:v>
      </x:c>
      <x:c r="B87" s="32" t="n">
        <x:v>97.8</x:v>
      </x:c>
      <x:c r="C87" s="32" t="n">
        <x:v>59.5</x:v>
      </x:c>
      <x:c r="D87" s="12" t="n">
        <x:v>4</x:v>
      </x:c>
      <x:c r="E87" s="12" t="n">
        <x:v>12</x:v>
      </x:c>
      <x:c r="F87" s="12" t="n">
        <x:v>2003</x:v>
      </x:c>
      <x:c r="G87" s="32" t="n">
        <x:v>24.9</x:v>
      </x:c>
      <x:c r="H87" s="12" t="n">
        <x:v>2026</x:v>
      </x:c>
      <x:c r="I87" s="12" t="n">
        <x:v>8</x:v>
      </x:c>
      <x:c r="J87" s="12" t="n">
        <x:v>438</x:v>
      </x:c>
      <x:c r="K87" s="3" t="str">
        <x:v>Пн</x:v>
      </x:c>
      <x:c r="L87" s="8" t="n">
        <x:v>89.86</x:v>
      </x:c>
      <x:c r="M87" s="32" t="n">
        <x:v>17671.6</x:v>
      </x:c>
    </x:row>
    <x:row r="88" ht="23" customHeight="1">
      <x:c r="A88" s="11" t="n">
        <x:v>10083</x:v>
      </x:c>
      <x:c r="B88" s="31" t="n">
        <x:v>65.1</x:v>
      </x:c>
      <x:c r="C88" s="31" t="n">
        <x:v>43.7</x:v>
      </x:c>
      <x:c r="D88" s="11" t="n">
        <x:v>2</x:v>
      </x:c>
      <x:c r="E88" s="11" t="n">
        <x:v>5</x:v>
      </x:c>
      <x:c r="F88" s="11" t="n">
        <x:v>1997</x:v>
      </x:c>
      <x:c r="G88" s="31" t="n">
        <x:v>27.4</x:v>
      </x:c>
      <x:c r="H88" s="11" t="n">
        <x:v>2207</x:v>
      </x:c>
      <x:c r="I88" s="11" t="n">
        <x:v>9</x:v>
      </x:c>
      <x:c r="J88" s="11" t="n">
        <x:v>897</x:v>
      </x:c>
      <x:c r="K88" s="9" t="str">
        <x:v>Сб</x:v>
      </x:c>
      <x:c r="L88" s="10" t="n">
        <x:v>77</x:v>
      </x:c>
      <x:c r="M88" s="31" t="n">
        <x:v>11845.5</x:v>
      </x:c>
    </x:row>
    <x:row r="89" ht="23" customHeight="1">
      <x:c r="A89" s="12" t="n">
        <x:v>10084</x:v>
      </x:c>
      <x:c r="B89" s="32" t="n">
        <x:v>35.1</x:v>
      </x:c>
      <x:c r="C89" s="32" t="n">
        <x:v>19.4</x:v>
      </x:c>
      <x:c r="D89" s="12" t="n">
        <x:v>1</x:v>
      </x:c>
      <x:c r="E89" s="12" t="n">
        <x:v>3</x:v>
      </x:c>
      <x:c r="F89" s="12" t="n">
        <x:v>2006</x:v>
      </x:c>
      <x:c r="G89" s="32" t="n">
        <x:v>23.6</x:v>
      </x:c>
      <x:c r="H89" s="12" t="n">
        <x:v>1847</x:v>
      </x:c>
      <x:c r="I89" s="12" t="n">
        <x:v>3</x:v>
      </x:c>
      <x:c r="J89" s="12" t="n">
        <x:v>360</x:v>
      </x:c>
      <x:c r="K89" s="3" t="str">
        <x:v>Пн</x:v>
      </x:c>
      <x:c r="L89" s="8" t="n">
        <x:v>48.95</x:v>
      </x:c>
      <x:c r="M89" s="32" t="n">
        <x:v>8071.5</x:v>
      </x:c>
    </x:row>
    <x:row r="90" ht="23" customHeight="1">
      <x:c r="A90" s="11" t="n">
        <x:v>10085</x:v>
      </x:c>
      <x:c r="B90" s="31" t="n">
        <x:v>62.8</x:v>
      </x:c>
      <x:c r="C90" s="31" t="n">
        <x:v>34.5</x:v>
      </x:c>
      <x:c r="D90" s="11" t="n">
        <x:v>2</x:v>
      </x:c>
      <x:c r="E90" s="11" t="n">
        <x:v>1</x:v>
      </x:c>
      <x:c r="F90" s="11" t="n">
        <x:v>1976</x:v>
      </x:c>
      <x:c r="G90" s="31" t="n">
        <x:v>7</x:v>
      </x:c>
      <x:c r="H90" s="11" t="n">
        <x:v>574</x:v>
      </x:c>
      <x:c r="I90" s="11" t="n">
        <x:v>4</x:v>
      </x:c>
      <x:c r="J90" s="11" t="n">
        <x:v>986</x:v>
      </x:c>
      <x:c r="K90" s="9" t="str">
        <x:v>Сб</x:v>
      </x:c>
      <x:c r="L90" s="10" t="n">
        <x:v>73</x:v>
      </x:c>
      <x:c r="M90" s="31" t="n">
        <x:v>11419.2</x:v>
      </x:c>
    </x:row>
    <x:row r="91" ht="23" customHeight="1">
      <x:c r="A91" s="12" t="n">
        <x:v>10086</x:v>
      </x:c>
      <x:c r="B91" s="32" t="n">
        <x:v>64.4</x:v>
      </x:c>
      <x:c r="C91" s="32" t="n">
        <x:v>37.5</x:v>
      </x:c>
      <x:c r="D91" s="12" t="n">
        <x:v>3</x:v>
      </x:c>
      <x:c r="E91" s="12" t="n">
        <x:v>4</x:v>
      </x:c>
      <x:c r="F91" s="12" t="n">
        <x:v>1973</x:v>
      </x:c>
      <x:c r="G91" s="32" t="n">
        <x:v>30.9</x:v>
      </x:c>
      <x:c r="H91" s="12" t="n">
        <x:v>2532</x:v>
      </x:c>
      <x:c r="I91" s="12" t="n">
        <x:v>4</x:v>
      </x:c>
      <x:c r="J91" s="12" t="n">
        <x:v>834</x:v>
      </x:c>
      <x:c r="K91" s="3" t="str">
        <x:v>Пн</x:v>
      </x:c>
      <x:c r="L91" s="8" t="n">
        <x:v>68.19</x:v>
      </x:c>
      <x:c r="M91" s="32" t="n">
        <x:v>9691</x:v>
      </x:c>
    </x:row>
    <x:row r="92" ht="23" customHeight="1">
      <x:c r="A92" s="11" t="n">
        <x:v>10087</x:v>
      </x:c>
      <x:c r="B92" s="31" t="n">
        <x:v>109.7</x:v>
      </x:c>
      <x:c r="C92" s="31" t="n">
        <x:v>77.6</x:v>
      </x:c>
      <x:c r="D92" s="11" t="n">
        <x:v>4</x:v>
      </x:c>
      <x:c r="E92" s="11" t="n">
        <x:v>8</x:v>
      </x:c>
      <x:c r="F92" s="11" t="n">
        <x:v>2006</x:v>
      </x:c>
      <x:c r="G92" s="31" t="n">
        <x:v>19.8</x:v>
      </x:c>
      <x:c r="H92" s="11" t="n">
        <x:v>1554</x:v>
      </x:c>
      <x:c r="I92" s="11" t="n">
        <x:v>9</x:v>
      </x:c>
      <x:c r="J92" s="11" t="n">
        <x:v>298</x:v>
      </x:c>
      <x:c r="K92" s="9" t="str">
        <x:v>Ср</x:v>
      </x:c>
      <x:c r="L92" s="10" t="n">
        <x:v>40.62</x:v>
      </x:c>
      <x:c r="M92" s="31" t="n">
        <x:v>20509</x:v>
      </x:c>
    </x:row>
    <x:row r="93" ht="23" customHeight="1">
      <x:c r="A93" s="12" t="n">
        <x:v>10088</x:v>
      </x:c>
      <x:c r="B93" s="32" t="n">
        <x:v>99.4</x:v>
      </x:c>
      <x:c r="C93" s="32" t="n">
        <x:v>64.7</x:v>
      </x:c>
      <x:c r="D93" s="12" t="n">
        <x:v>5</x:v>
      </x:c>
      <x:c r="E93" s="12" t="n">
        <x:v>3</x:v>
      </x:c>
      <x:c r="F93" s="12" t="n">
        <x:v>1970</x:v>
      </x:c>
      <x:c r="G93" s="32" t="n">
        <x:v>11.3</x:v>
      </x:c>
      <x:c r="H93" s="12" t="n">
        <x:v>1009</x:v>
      </x:c>
      <x:c r="I93" s="12" t="n">
        <x:v>7</x:v>
      </x:c>
      <x:c r="J93" s="12" t="n">
        <x:v>310</x:v>
      </x:c>
      <x:c r="K93" s="3" t="str">
        <x:v>Пт</x:v>
      </x:c>
      <x:c r="L93" s="8" t="n">
        <x:v>39.13</x:v>
      </x:c>
      <x:c r="M93" s="32" t="n">
        <x:v>18462.8</x:v>
      </x:c>
    </x:row>
    <x:row r="94" ht="23" customHeight="1">
      <x:c r="A94" s="11" t="n">
        <x:v>10089</x:v>
      </x:c>
      <x:c r="B94" s="31" t="n">
        <x:v>127.4</x:v>
      </x:c>
      <x:c r="C94" s="31" t="n">
        <x:v>88.2</x:v>
      </x:c>
      <x:c r="D94" s="11" t="n">
        <x:v>4</x:v>
      </x:c>
      <x:c r="E94" s="11" t="n">
        <x:v>10</x:v>
      </x:c>
      <x:c r="F94" s="11" t="n">
        <x:v>1970</x:v>
      </x:c>
      <x:c r="G94" s="31" t="n">
        <x:v>16</x:v>
      </x:c>
      <x:c r="H94" s="11" t="n">
        <x:v>1254</x:v>
      </x:c>
      <x:c r="I94" s="11" t="n">
        <x:v>3</x:v>
      </x:c>
      <x:c r="J94" s="11" t="n">
        <x:v>386</x:v>
      </x:c>
      <x:c r="K94" s="9" t="str">
        <x:v>Вт</x:v>
      </x:c>
      <x:c r="L94" s="10" t="n">
        <x:v>60.03</x:v>
      </x:c>
      <x:c r="M94" s="31" t="n">
        <x:v>24075</x:v>
      </x:c>
    </x:row>
    <x:row r="95" ht="23" customHeight="1">
      <x:c r="A95" s="12" t="n">
        <x:v>10090</x:v>
      </x:c>
      <x:c r="B95" s="32" t="n">
        <x:v>80.9</x:v>
      </x:c>
      <x:c r="C95" s="32" t="n">
        <x:v>49.3</x:v>
      </x:c>
      <x:c r="D95" s="12" t="n">
        <x:v>4</x:v>
      </x:c>
      <x:c r="E95" s="12" t="n">
        <x:v>2</x:v>
      </x:c>
      <x:c r="F95" s="12" t="n">
        <x:v>2016</x:v>
      </x:c>
      <x:c r="G95" s="32" t="n">
        <x:v>3.2</x:v>
      </x:c>
      <x:c r="H95" s="12" t="n">
        <x:v>258</x:v>
      </x:c>
      <x:c r="I95" s="12" t="n">
        <x:v>5</x:v>
      </x:c>
      <x:c r="J95" s="12" t="n">
        <x:v>791</x:v>
      </x:c>
      <x:c r="K95" s="3" t="str">
        <x:v>Вт</x:v>
      </x:c>
      <x:c r="L95" s="8" t="n">
        <x:v>53.9</x:v>
      </x:c>
      <x:c r="M95" s="32" t="n">
        <x:v>17574.7</x:v>
      </x:c>
    </x:row>
    <x:row r="96" ht="23" customHeight="1">
      <x:c r="A96" s="11" t="n">
        <x:v>10091</x:v>
      </x:c>
      <x:c r="B96" s="31" t="n">
        <x:v>41.4</x:v>
      </x:c>
      <x:c r="C96" s="31" t="n">
        <x:v>26.9</x:v>
      </x:c>
      <x:c r="D96" s="11" t="n">
        <x:v>2</x:v>
      </x:c>
      <x:c r="E96" s="11" t="n">
        <x:v>11</x:v>
      </x:c>
      <x:c r="F96" s="11" t="n">
        <x:v>1989</x:v>
      </x:c>
      <x:c r="G96" s="31" t="n">
        <x:v>6.2</x:v>
      </x:c>
      <x:c r="H96" s="11" t="n">
        <x:v>462</x:v>
      </x:c>
      <x:c r="I96" s="11" t="n">
        <x:v>7</x:v>
      </x:c>
      <x:c r="J96" s="11" t="n">
        <x:v>861</x:v>
      </x:c>
      <x:c r="K96" s="9" t="str">
        <x:v>Пт</x:v>
      </x:c>
      <x:c r="L96" s="10" t="n">
        <x:v>43.97</x:v>
      </x:c>
      <x:c r="M96" s="31" t="n">
        <x:v>8496.5</x:v>
      </x:c>
    </x:row>
    <x:row r="97" ht="23" customHeight="1">
      <x:c r="A97" s="12" t="n">
        <x:v>10092</x:v>
      </x:c>
      <x:c r="B97" s="32" t="n">
        <x:v>107.9</x:v>
      </x:c>
      <x:c r="C97" s="32" t="n">
        <x:v>71.7</x:v>
      </x:c>
      <x:c r="D97" s="12" t="n">
        <x:v>4</x:v>
      </x:c>
      <x:c r="E97" s="12" t="n">
        <x:v>25</x:v>
      </x:c>
      <x:c r="F97" s="12" t="n">
        <x:v>1988</x:v>
      </x:c>
      <x:c r="G97" s="32" t="n">
        <x:v>27.3</x:v>
      </x:c>
      <x:c r="H97" s="12" t="n">
        <x:v>2195</x:v>
      </x:c>
      <x:c r="I97" s="12" t="n">
        <x:v>8</x:v>
      </x:c>
      <x:c r="J97" s="12" t="n">
        <x:v>842</x:v>
      </x:c>
      <x:c r="K97" s="3" t="str">
        <x:v>Вс</x:v>
      </x:c>
      <x:c r="L97" s="8" t="n">
        <x:v>60.82</x:v>
      </x:c>
      <x:c r="M97" s="32" t="n">
        <x:v>18943.5</x:v>
      </x:c>
    </x:row>
    <x:row r="98" ht="23" customHeight="1">
      <x:c r="A98" s="11" t="n">
        <x:v>10093</x:v>
      </x:c>
      <x:c r="B98" s="31" t="n">
        <x:v>113.2</x:v>
      </x:c>
      <x:c r="C98" s="31" t="n">
        <x:v>67.2</x:v>
      </x:c>
      <x:c r="D98" s="11" t="n">
        <x:v>4</x:v>
      </x:c>
      <x:c r="E98" s="11" t="n">
        <x:v>10</x:v>
      </x:c>
      <x:c r="F98" s="11" t="n">
        <x:v>1998</x:v>
      </x:c>
      <x:c r="G98" s="31" t="n">
        <x:v>2</x:v>
      </x:c>
      <x:c r="H98" s="11" t="n">
        <x:v>73</x:v>
      </x:c>
      <x:c r="I98" s="11" t="n">
        <x:v>1</x:v>
      </x:c>
      <x:c r="J98" s="11" t="n">
        <x:v>571</x:v>
      </x:c>
      <x:c r="K98" s="9" t="str">
        <x:v>Пт</x:v>
      </x:c>
      <x:c r="L98" s="10" t="n">
        <x:v>28.36</x:v>
      </x:c>
      <x:c r="M98" s="31" t="n">
        <x:v>22231.3</x:v>
      </x:c>
    </x:row>
    <x:row r="99" ht="23" customHeight="1">
      <x:c r="A99" s="12" t="n">
        <x:v>10094</x:v>
      </x:c>
      <x:c r="B99" s="32" t="n">
        <x:v>90.9</x:v>
      </x:c>
      <x:c r="C99" s="32" t="n">
        <x:v>63.5</x:v>
      </x:c>
      <x:c r="D99" s="12" t="n">
        <x:v>4</x:v>
      </x:c>
      <x:c r="E99" s="12" t="n">
        <x:v>21</x:v>
      </x:c>
      <x:c r="F99" s="12" t="n">
        <x:v>1979</x:v>
      </x:c>
      <x:c r="G99" s="32" t="n">
        <x:v>15.7</x:v>
      </x:c>
      <x:c r="H99" s="12" t="n">
        <x:v>1229</x:v>
      </x:c>
      <x:c r="I99" s="12" t="n">
        <x:v>2</x:v>
      </x:c>
      <x:c r="J99" s="12" t="n">
        <x:v>581</x:v>
      </x:c>
      <x:c r="K99" s="3" t="str">
        <x:v>Пт</x:v>
      </x:c>
      <x:c r="L99" s="8" t="n">
        <x:v>51.73</x:v>
      </x:c>
      <x:c r="M99" s="32" t="n">
        <x:v>17065.7</x:v>
      </x:c>
    </x:row>
    <x:row r="100" ht="23" customHeight="1">
      <x:c r="A100" s="11" t="n">
        <x:v>10095</x:v>
      </x:c>
      <x:c r="B100" s="31" t="n">
        <x:v>114.3</x:v>
      </x:c>
      <x:c r="C100" s="31" t="n">
        <x:v>79.6</x:v>
      </x:c>
      <x:c r="D100" s="11" t="n">
        <x:v>5</x:v>
      </x:c>
      <x:c r="E100" s="11" t="n">
        <x:v>14</x:v>
      </x:c>
      <x:c r="F100" s="11" t="n">
        <x:v>1987</x:v>
      </x:c>
      <x:c r="G100" s="31" t="n">
        <x:v>19.2</x:v>
      </x:c>
      <x:c r="H100" s="11" t="n">
        <x:v>1481</x:v>
      </x:c>
      <x:c r="I100" s="11" t="n">
        <x:v>7</x:v>
      </x:c>
      <x:c r="J100" s="11" t="n">
        <x:v>122</x:v>
      </x:c>
      <x:c r="K100" s="9" t="str">
        <x:v>Пт</x:v>
      </x:c>
      <x:c r="L100" s="10" t="n">
        <x:v>31.42</x:v>
      </x:c>
      <x:c r="M100" s="31" t="n">
        <x:v>20893.1</x:v>
      </x:c>
    </x:row>
    <x:row r="101" ht="23" customHeight="1">
      <x:c r="A101" s="12" t="n">
        <x:v>10096</x:v>
      </x:c>
      <x:c r="B101" s="32" t="n">
        <x:v>83.3</x:v>
      </x:c>
      <x:c r="C101" s="32" t="n">
        <x:v>57.2</x:v>
      </x:c>
      <x:c r="D101" s="12" t="n">
        <x:v>4</x:v>
      </x:c>
      <x:c r="E101" s="12" t="n">
        <x:v>7</x:v>
      </x:c>
      <x:c r="F101" s="12" t="n">
        <x:v>1997</x:v>
      </x:c>
      <x:c r="G101" s="32" t="n">
        <x:v>3.8</x:v>
      </x:c>
      <x:c r="H101" s="12" t="n">
        <x:v>311</x:v>
      </x:c>
      <x:c r="I101" s="12" t="n">
        <x:v>2</x:v>
      </x:c>
      <x:c r="J101" s="12" t="n">
        <x:v>659</x:v>
      </x:c>
      <x:c r="K101" s="3" t="str">
        <x:v>Вс</x:v>
      </x:c>
      <x:c r="L101" s="8" t="n">
        <x:v>31.91</x:v>
      </x:c>
      <x:c r="M101" s="32" t="n">
        <x:v>16602.7</x:v>
      </x:c>
    </x:row>
    <x:row r="102" ht="23" customHeight="1">
      <x:c r="A102" s="11" t="n">
        <x:v>10097</x:v>
      </x:c>
      <x:c r="B102" s="31" t="n">
        <x:v>86.5</x:v>
      </x:c>
      <x:c r="C102" s="31" t="n">
        <x:v>55.3</x:v>
      </x:c>
      <x:c r="D102" s="11" t="n">
        <x:v>4</x:v>
      </x:c>
      <x:c r="E102" s="11" t="n">
        <x:v>2</x:v>
      </x:c>
      <x:c r="F102" s="11" t="n">
        <x:v>2004</x:v>
      </x:c>
      <x:c r="G102" s="31" t="n">
        <x:v>34.1</x:v>
      </x:c>
      <x:c r="H102" s="11" t="n">
        <x:v>2778</x:v>
      </x:c>
      <x:c r="I102" s="11" t="n">
        <x:v>7</x:v>
      </x:c>
      <x:c r="J102" s="11" t="n">
        <x:v>208</x:v>
      </x:c>
      <x:c r="K102" s="9" t="str">
        <x:v>Сб</x:v>
      </x:c>
      <x:c r="L102" s="10" t="n">
        <x:v>39.4</x:v>
      </x:c>
      <x:c r="M102" s="31" t="n">
        <x:v>14592.9</x:v>
      </x:c>
    </x:row>
    <x:row r="103" ht="23" customHeight="1">
      <x:c r="A103" s="12" t="n">
        <x:v>10098</x:v>
      </x:c>
      <x:c r="B103" s="32" t="n">
        <x:v>75.9</x:v>
      </x:c>
      <x:c r="C103" s="32" t="n">
        <x:v>45.3</x:v>
      </x:c>
      <x:c r="D103" s="12" t="n">
        <x:v>3</x:v>
      </x:c>
      <x:c r="E103" s="12" t="n">
        <x:v>9</x:v>
      </x:c>
      <x:c r="F103" s="12" t="n">
        <x:v>2012</x:v>
      </x:c>
      <x:c r="G103" s="32" t="n">
        <x:v>9.5</x:v>
      </x:c>
      <x:c r="H103" s="12" t="n">
        <x:v>792</x:v>
      </x:c>
      <x:c r="I103" s="12" t="n">
        <x:v>9</x:v>
      </x:c>
      <x:c r="J103" s="12" t="n">
        <x:v>395</x:v>
      </x:c>
      <x:c r="K103" s="3" t="str">
        <x:v>Ср</x:v>
      </x:c>
      <x:c r="L103" s="8" t="n">
        <x:v>55.45</x:v>
      </x:c>
      <x:c r="M103" s="32" t="n">
        <x:v>15788</x:v>
      </x:c>
    </x:row>
    <x:row r="104" ht="23" customHeight="1">
      <x:c r="A104" s="11" t="n">
        <x:v>10099</x:v>
      </x:c>
      <x:c r="B104" s="31" t="n">
        <x:v>30.8</x:v>
      </x:c>
      <x:c r="C104" s="31" t="n">
        <x:v>17</x:v>
      </x:c>
      <x:c r="D104" s="11" t="n">
        <x:v>1</x:v>
      </x:c>
      <x:c r="E104" s="11" t="n">
        <x:v>16</x:v>
      </x:c>
      <x:c r="F104" s="11" t="n">
        <x:v>2016</x:v>
      </x:c>
      <x:c r="G104" s="31" t="n">
        <x:v>12</x:v>
      </x:c>
      <x:c r="H104" s="11" t="n">
        <x:v>841</x:v>
      </x:c>
      <x:c r="I104" s="11" t="n">
        <x:v>2</x:v>
      </x:c>
      <x:c r="J104" s="11" t="n">
        <x:v>105</x:v>
      </x:c>
      <x:c r="K104" s="9" t="str">
        <x:v>Вт</x:v>
      </x:c>
      <x:c r="L104" s="10" t="n">
        <x:v>39.87</x:v>
      </x:c>
      <x:c r="M104" s="31" t="n">
        <x:v>8032.3</x:v>
      </x:c>
    </x:row>
    <x:row r="105" ht="23" customHeight="1">
      <x:c r="A105" s="12" t="n">
        <x:v>10100</x:v>
      </x:c>
      <x:c r="B105" s="32" t="n">
        <x:v>40.1</x:v>
      </x:c>
      <x:c r="C105" s="32" t="n">
        <x:v>26.9</x:v>
      </x:c>
      <x:c r="D105" s="12" t="n">
        <x:v>2</x:v>
      </x:c>
      <x:c r="E105" s="12" t="n">
        <x:v>13</x:v>
      </x:c>
      <x:c r="F105" s="12" t="n">
        <x:v>2000</x:v>
      </x:c>
      <x:c r="G105" s="32" t="n">
        <x:v>12</x:v>
      </x:c>
      <x:c r="H105" s="12" t="n">
        <x:v>1062</x:v>
      </x:c>
      <x:c r="I105" s="12" t="n">
        <x:v>7</x:v>
      </x:c>
      <x:c r="J105" s="12" t="n">
        <x:v>649</x:v>
      </x:c>
      <x:c r="K105" s="3" t="str">
        <x:v>Чт</x:v>
      </x:c>
      <x:c r="L105" s="8" t="n">
        <x:v>31.73</x:v>
      </x:c>
      <x:c r="M105" s="32" t="n">
        <x:v>8968.5</x:v>
      </x:c>
    </x:row>
    <x:row r="106" ht="23" customHeight="1">
      <x:c r="A106" s="11" t="n">
        <x:v>10101</x:v>
      </x:c>
      <x:c r="B106" s="31" t="n">
        <x:v>31.5</x:v>
      </x:c>
      <x:c r="C106" s="31" t="n">
        <x:v>16.2</x:v>
      </x:c>
      <x:c r="D106" s="11" t="n">
        <x:v>1</x:v>
      </x:c>
      <x:c r="E106" s="11" t="n">
        <x:v>9</x:v>
      </x:c>
      <x:c r="F106" s="11" t="n">
        <x:v>1996</x:v>
      </x:c>
      <x:c r="G106" s="31" t="n">
        <x:v>9.6</x:v>
      </x:c>
      <x:c r="H106" s="11" t="n">
        <x:v>783</x:v>
      </x:c>
      <x:c r="I106" s="11" t="n">
        <x:v>4</x:v>
      </x:c>
      <x:c r="J106" s="11" t="n">
        <x:v>780</x:v>
      </x:c>
      <x:c r="K106" s="9" t="str">
        <x:v>Вт</x:v>
      </x:c>
      <x:c r="L106" s="10" t="n">
        <x:v>57.16</x:v>
      </x:c>
      <x:c r="M106" s="31" t="n">
        <x:v>7472.5</x:v>
      </x:c>
    </x:row>
    <x:row r="107" ht="23" customHeight="1">
      <x:c r="A107" s="12" t="n">
        <x:v>10102</x:v>
      </x:c>
      <x:c r="B107" s="32" t="n">
        <x:v>99.3</x:v>
      </x:c>
      <x:c r="C107" s="32" t="n">
        <x:v>63.7</x:v>
      </x:c>
      <x:c r="D107" s="12" t="n">
        <x:v>3</x:v>
      </x:c>
      <x:c r="E107" s="12" t="n">
        <x:v>20</x:v>
      </x:c>
      <x:c r="F107" s="12" t="n">
        <x:v>1980</x:v>
      </x:c>
      <x:c r="G107" s="32" t="n">
        <x:v>2</x:v>
      </x:c>
      <x:c r="H107" s="12" t="n">
        <x:v>121</x:v>
      </x:c>
      <x:c r="I107" s="12" t="n">
        <x:v>2</x:v>
      </x:c>
      <x:c r="J107" s="12" t="n">
        <x:v>967</x:v>
      </x:c>
      <x:c r="K107" s="3" t="str">
        <x:v>Вт</x:v>
      </x:c>
      <x:c r="L107" s="8" t="n">
        <x:v>72.39</x:v>
      </x:c>
      <x:c r="M107" s="32" t="n">
        <x:v>20093.2</x:v>
      </x:c>
    </x:row>
    <x:row r="108" ht="23" customHeight="1">
      <x:c r="A108" s="11" t="n">
        <x:v>10103</x:v>
      </x:c>
      <x:c r="B108" s="31" t="n">
        <x:v>63.2</x:v>
      </x:c>
      <x:c r="C108" s="31" t="n">
        <x:v>44.6</x:v>
      </x:c>
      <x:c r="D108" s="11" t="n">
        <x:v>2</x:v>
      </x:c>
      <x:c r="E108" s="11" t="n">
        <x:v>4</x:v>
      </x:c>
      <x:c r="F108" s="11" t="n">
        <x:v>2018</x:v>
      </x:c>
      <x:c r="G108" s="31" t="n">
        <x:v>26.1</x:v>
      </x:c>
      <x:c r="H108" s="11" t="n">
        <x:v>2096</x:v>
      </x:c>
      <x:c r="I108" s="11" t="n">
        <x:v>7</x:v>
      </x:c>
      <x:c r="J108" s="11" t="n">
        <x:v>894</x:v>
      </x:c>
      <x:c r="K108" s="9" t="str">
        <x:v>Вс</x:v>
      </x:c>
      <x:c r="L108" s="10" t="n">
        <x:v>59.58</x:v>
      </x:c>
      <x:c r="M108" s="31" t="n">
        <x:v>12142.2</x:v>
      </x:c>
    </x:row>
    <x:row r="109" ht="23" customHeight="1">
      <x:c r="A109" s="12" t="n">
        <x:v>10104</x:v>
      </x:c>
      <x:c r="B109" s="32" t="n">
        <x:v>85</x:v>
      </x:c>
      <x:c r="C109" s="32" t="n">
        <x:v>56.7</x:v>
      </x:c>
      <x:c r="D109" s="12" t="n">
        <x:v>4</x:v>
      </x:c>
      <x:c r="E109" s="12" t="n">
        <x:v>22</x:v>
      </x:c>
      <x:c r="F109" s="12" t="n">
        <x:v>2018</x:v>
      </x:c>
      <x:c r="G109" s="32" t="n">
        <x:v>33.9</x:v>
      </x:c>
      <x:c r="H109" s="12" t="n">
        <x:v>2721</x:v>
      </x:c>
      <x:c r="I109" s="12" t="n">
        <x:v>5</x:v>
      </x:c>
      <x:c r="J109" s="12" t="n">
        <x:v>302</x:v>
      </x:c>
      <x:c r="K109" s="3" t="str">
        <x:v>Пн</x:v>
      </x:c>
      <x:c r="L109" s="8" t="n">
        <x:v>77.03</x:v>
      </x:c>
      <x:c r="M109" s="32" t="n">
        <x:v>15509.9</x:v>
      </x:c>
    </x:row>
    <x:row r="110" ht="23" customHeight="1">
      <x:c r="A110" s="11" t="n">
        <x:v>10105</x:v>
      </x:c>
      <x:c r="B110" s="31" t="n">
        <x:v>129.6</x:v>
      </x:c>
      <x:c r="C110" s="31" t="n">
        <x:v>93.4</x:v>
      </x:c>
      <x:c r="D110" s="11" t="n">
        <x:v>5</x:v>
      </x:c>
      <x:c r="E110" s="11" t="n">
        <x:v>10</x:v>
      </x:c>
      <x:c r="F110" s="11" t="n">
        <x:v>2007</x:v>
      </x:c>
      <x:c r="G110" s="31" t="n">
        <x:v>9.4</x:v>
      </x:c>
      <x:c r="H110" s="11" t="n">
        <x:v>719</x:v>
      </x:c>
      <x:c r="I110" s="11" t="n">
        <x:v>1</x:v>
      </x:c>
      <x:c r="J110" s="11" t="n">
        <x:v>424</x:v>
      </x:c>
      <x:c r="K110" s="9" t="str">
        <x:v>Пт</x:v>
      </x:c>
      <x:c r="L110" s="10" t="n">
        <x:v>71.14</x:v>
      </x:c>
      <x:c r="M110" s="31" t="n">
        <x:v>24549.6</x:v>
      </x:c>
    </x:row>
    <x:row r="111" ht="23" customHeight="1">
      <x:c r="A111" s="12" t="n">
        <x:v>10106</x:v>
      </x:c>
      <x:c r="B111" s="32" t="n">
        <x:v>55.9</x:v>
      </x:c>
      <x:c r="C111" s="32" t="n">
        <x:v>31.5</x:v>
      </x:c>
      <x:c r="D111" s="12" t="n">
        <x:v>2</x:v>
      </x:c>
      <x:c r="E111" s="12" t="n">
        <x:v>22</x:v>
      </x:c>
      <x:c r="F111" s="12" t="n">
        <x:v>1974</x:v>
      </x:c>
      <x:c r="G111" s="32" t="n">
        <x:v>23.9</x:v>
      </x:c>
      <x:c r="H111" s="12" t="n">
        <x:v>1922</x:v>
      </x:c>
      <x:c r="I111" s="12" t="n">
        <x:v>5</x:v>
      </x:c>
      <x:c r="J111" s="12" t="n">
        <x:v>924</x:v>
      </x:c>
      <x:c r="K111" s="3" t="str">
        <x:v>Пт</x:v>
      </x:c>
      <x:c r="L111" s="8" t="n">
        <x:v>42.69</x:v>
      </x:c>
      <x:c r="M111" s="32" t="n">
        <x:v>9531.3</x:v>
      </x:c>
    </x:row>
    <x:row r="112" ht="23" customHeight="1">
      <x:c r="A112" s="11" t="n">
        <x:v>10107</x:v>
      </x:c>
      <x:c r="B112" s="31" t="n">
        <x:v>74</x:v>
      </x:c>
      <x:c r="C112" s="31" t="n">
        <x:v>44.6</x:v>
      </x:c>
      <x:c r="D112" s="11" t="n">
        <x:v>3</x:v>
      </x:c>
      <x:c r="E112" s="11" t="n">
        <x:v>12</x:v>
      </x:c>
      <x:c r="F112" s="11" t="n">
        <x:v>1977</x:v>
      </x:c>
      <x:c r="G112" s="31" t="n">
        <x:v>26.5</x:v>
      </x:c>
      <x:c r="H112" s="11" t="n">
        <x:v>2090</x:v>
      </x:c>
      <x:c r="I112" s="11" t="n">
        <x:v>3</x:v>
      </x:c>
      <x:c r="J112" s="11" t="n">
        <x:v>884</x:v>
      </x:c>
      <x:c r="K112" s="9" t="str">
        <x:v>Пт</x:v>
      </x:c>
      <x:c r="L112" s="10" t="n">
        <x:v>59.48</x:v>
      </x:c>
      <x:c r="M112" s="31" t="n">
        <x:v>12602.8</x:v>
      </x:c>
    </x:row>
    <x:row r="113" ht="23" customHeight="1">
      <x:c r="A113" s="12" t="n">
        <x:v>10108</x:v>
      </x:c>
      <x:c r="B113" s="32" t="n">
        <x:v>112.6</x:v>
      </x:c>
      <x:c r="C113" s="32" t="n">
        <x:v>61.3</x:v>
      </x:c>
      <x:c r="D113" s="12" t="n">
        <x:v>5</x:v>
      </x:c>
      <x:c r="E113" s="12" t="n">
        <x:v>17</x:v>
      </x:c>
      <x:c r="F113" s="12" t="n">
        <x:v>2003</x:v>
      </x:c>
      <x:c r="G113" s="32" t="n">
        <x:v>30</x:v>
      </x:c>
      <x:c r="H113" s="12" t="n">
        <x:v>2380</x:v>
      </x:c>
      <x:c r="I113" s="12" t="n">
        <x:v>7</x:v>
      </x:c>
      <x:c r="J113" s="12" t="n">
        <x:v>343</x:v>
      </x:c>
      <x:c r="K113" s="3" t="str">
        <x:v>Пн</x:v>
      </x:c>
      <x:c r="L113" s="8" t="n">
        <x:v>48.63</x:v>
      </x:c>
      <x:c r="M113" s="32" t="n">
        <x:v>19404.2</x:v>
      </x:c>
    </x:row>
    <x:row r="114" ht="23" customHeight="1">
      <x:c r="A114" s="11" t="n">
        <x:v>10109</x:v>
      </x:c>
      <x:c r="B114" s="31" t="n">
        <x:v>53.6</x:v>
      </x:c>
      <x:c r="C114" s="31" t="n">
        <x:v>32</x:v>
      </x:c>
      <x:c r="D114" s="11" t="n">
        <x:v>2</x:v>
      </x:c>
      <x:c r="E114" s="11" t="n">
        <x:v>14</x:v>
      </x:c>
      <x:c r="F114" s="11" t="n">
        <x:v>2017</x:v>
      </x:c>
      <x:c r="G114" s="31" t="n">
        <x:v>15.9</x:v>
      </x:c>
      <x:c r="H114" s="11" t="n">
        <x:v>1238</x:v>
      </x:c>
      <x:c r="I114" s="11" t="n">
        <x:v>6</x:v>
      </x:c>
      <x:c r="J114" s="11" t="n">
        <x:v>426</x:v>
      </x:c>
      <x:c r="K114" s="9" t="str">
        <x:v>Вс</x:v>
      </x:c>
      <x:c r="L114" s="10" t="n">
        <x:v>65.93</x:v>
      </x:c>
      <x:c r="M114" s="31" t="n">
        <x:v>11610.4</x:v>
      </x:c>
    </x:row>
    <x:row r="115" ht="23" customHeight="1">
      <x:c r="A115" s="12" t="n">
        <x:v>10110</x:v>
      </x:c>
      <x:c r="B115" s="32" t="n">
        <x:v>36.6</x:v>
      </x:c>
      <x:c r="C115" s="32" t="n">
        <x:v>20.2</x:v>
      </x:c>
      <x:c r="D115" s="12" t="n">
        <x:v>1</x:v>
      </x:c>
      <x:c r="E115" s="12" t="n">
        <x:v>14</x:v>
      </x:c>
      <x:c r="F115" s="12" t="n">
        <x:v>2021</x:v>
      </x:c>
      <x:c r="G115" s="32" t="n">
        <x:v>12</x:v>
      </x:c>
      <x:c r="H115" s="12" t="n">
        <x:v>888</x:v>
      </x:c>
      <x:c r="I115" s="12" t="n">
        <x:v>8</x:v>
      </x:c>
      <x:c r="J115" s="12" t="n">
        <x:v>146</x:v>
      </x:c>
      <x:c r="K115" s="3" t="str">
        <x:v>Ср</x:v>
      </x:c>
      <x:c r="L115" s="8" t="n">
        <x:v>48.62</x:v>
      </x:c>
      <x:c r="M115" s="32" t="n">
        <x:v>9862.1</x:v>
      </x:c>
    </x:row>
    <x:row r="116" ht="23" customHeight="1">
      <x:c r="A116" s="11" t="n">
        <x:v>10111</x:v>
      </x:c>
      <x:c r="B116" s="31" t="n">
        <x:v>60.5</x:v>
      </x:c>
      <x:c r="C116" s="31" t="n">
        <x:v>38.3</x:v>
      </x:c>
      <x:c r="D116" s="11" t="n">
        <x:v>3</x:v>
      </x:c>
      <x:c r="E116" s="11" t="n">
        <x:v>25</x:v>
      </x:c>
      <x:c r="F116" s="11" t="n">
        <x:v>1981</x:v>
      </x:c>
      <x:c r="G116" s="31" t="n">
        <x:v>12.7</x:v>
      </x:c>
      <x:c r="H116" s="11" t="n">
        <x:v>1023</x:v>
      </x:c>
      <x:c r="I116" s="11" t="n">
        <x:v>5</x:v>
      </x:c>
      <x:c r="J116" s="11" t="n">
        <x:v>860</x:v>
      </x:c>
      <x:c r="K116" s="9" t="str">
        <x:v>Ср</x:v>
      </x:c>
      <x:c r="L116" s="10" t="n">
        <x:v>38.17</x:v>
      </x:c>
      <x:c r="M116" s="31" t="n">
        <x:v>12167.7</x:v>
      </x:c>
    </x:row>
    <x:row r="117" ht="23" customHeight="1">
      <x:c r="A117" s="12" t="n">
        <x:v>10112</x:v>
      </x:c>
      <x:c r="B117" s="32" t="n">
        <x:v>46.1</x:v>
      </x:c>
      <x:c r="C117" s="32" t="n">
        <x:v>30.5</x:v>
      </x:c>
      <x:c r="D117" s="12" t="n">
        <x:v>1</x:v>
      </x:c>
      <x:c r="E117" s="12" t="n">
        <x:v>2</x:v>
      </x:c>
      <x:c r="F117" s="12" t="n">
        <x:v>2007</x:v>
      </x:c>
      <x:c r="G117" s="32" t="n">
        <x:v>25.5</x:v>
      </x:c>
      <x:c r="H117" s="12" t="n">
        <x:v>2069</x:v>
      </x:c>
      <x:c r="I117" s="12" t="n">
        <x:v>2</x:v>
      </x:c>
      <x:c r="J117" s="12" t="n">
        <x:v>690</x:v>
      </x:c>
      <x:c r="K117" s="3" t="str">
        <x:v>Вс</x:v>
      </x:c>
      <x:c r="L117" s="8" t="n">
        <x:v>70.6</x:v>
      </x:c>
      <x:c r="M117" s="32" t="n">
        <x:v>9018</x:v>
      </x:c>
    </x:row>
    <x:row r="118" ht="23" customHeight="1">
      <x:c r="A118" s="11" t="n">
        <x:v>10113</x:v>
      </x:c>
      <x:c r="B118" s="31" t="n">
        <x:v>132.1</x:v>
      </x:c>
      <x:c r="C118" s="31" t="n">
        <x:v>92.8</x:v>
      </x:c>
      <x:c r="D118" s="11" t="n">
        <x:v>5</x:v>
      </x:c>
      <x:c r="E118" s="11" t="n">
        <x:v>21</x:v>
      </x:c>
      <x:c r="F118" s="11" t="n">
        <x:v>1970</x:v>
      </x:c>
      <x:c r="G118" s="31" t="n">
        <x:v>29</x:v>
      </x:c>
      <x:c r="H118" s="11" t="n">
        <x:v>2346</x:v>
      </x:c>
      <x:c r="I118" s="11" t="n">
        <x:v>9</x:v>
      </x:c>
      <x:c r="J118" s="11" t="n">
        <x:v>721</x:v>
      </x:c>
      <x:c r="K118" s="9" t="str">
        <x:v>Чт</x:v>
      </x:c>
      <x:c r="L118" s="10" t="n">
        <x:v>54.77</x:v>
      </x:c>
      <x:c r="M118" s="31" t="n">
        <x:v>22562</x:v>
      </x:c>
    </x:row>
    <x:row r="119" ht="23" customHeight="1">
      <x:c r="A119" s="12" t="n">
        <x:v>10114</x:v>
      </x:c>
      <x:c r="B119" s="32" t="n">
        <x:v>118.5</x:v>
      </x:c>
      <x:c r="C119" s="32" t="n">
        <x:v>69.4</x:v>
      </x:c>
      <x:c r="D119" s="12" t="n">
        <x:v>4</x:v>
      </x:c>
      <x:c r="E119" s="12" t="n">
        <x:v>25</x:v>
      </x:c>
      <x:c r="F119" s="12" t="n">
        <x:v>2000</x:v>
      </x:c>
      <x:c r="G119" s="32" t="n">
        <x:v>8</x:v>
      </x:c>
      <x:c r="H119" s="12" t="n">
        <x:v>681</x:v>
      </x:c>
      <x:c r="I119" s="12" t="n">
        <x:v>8</x:v>
      </x:c>
      <x:c r="J119" s="12" t="n">
        <x:v>112</x:v>
      </x:c>
      <x:c r="K119" s="3" t="str">
        <x:v>Ср</x:v>
      </x:c>
      <x:c r="L119" s="8" t="n">
        <x:v>40.05</x:v>
      </x:c>
      <x:c r="M119" s="32" t="n">
        <x:v>23069.3</x:v>
      </x:c>
    </x:row>
    <x:row r="120" ht="23" customHeight="1">
      <x:c r="A120" s="11" t="n">
        <x:v>10115</x:v>
      </x:c>
      <x:c r="B120" s="31" t="n">
        <x:v>98.9</x:v>
      </x:c>
      <x:c r="C120" s="31" t="n">
        <x:v>63.4</x:v>
      </x:c>
      <x:c r="D120" s="11" t="n">
        <x:v>4</x:v>
      </x:c>
      <x:c r="E120" s="11" t="n">
        <x:v>20</x:v>
      </x:c>
      <x:c r="F120" s="11" t="n">
        <x:v>1973</x:v>
      </x:c>
      <x:c r="G120" s="31" t="n">
        <x:v>14.2</x:v>
      </x:c>
      <x:c r="H120" s="11" t="n">
        <x:v>1152</x:v>
      </x:c>
      <x:c r="I120" s="11" t="n">
        <x:v>6</x:v>
      </x:c>
      <x:c r="J120" s="11" t="n">
        <x:v>479</x:v>
      </x:c>
      <x:c r="K120" s="9" t="str">
        <x:v>Вс</x:v>
      </x:c>
      <x:c r="L120" s="10" t="n">
        <x:v>42.52</x:v>
      </x:c>
      <x:c r="M120" s="31" t="n">
        <x:v>17675.4</x:v>
      </x:c>
    </x:row>
    <x:row r="121" ht="23" customHeight="1">
      <x:c r="A121" s="12" t="n">
        <x:v>10116</x:v>
      </x:c>
      <x:c r="B121" s="32" t="n">
        <x:v>125.6</x:v>
      </x:c>
      <x:c r="C121" s="32" t="n">
        <x:v>84.4</x:v>
      </x:c>
      <x:c r="D121" s="12" t="n">
        <x:v>5</x:v>
      </x:c>
      <x:c r="E121" s="12" t="n">
        <x:v>11</x:v>
      </x:c>
      <x:c r="F121" s="12" t="n">
        <x:v>2018</x:v>
      </x:c>
      <x:c r="G121" s="32" t="n">
        <x:v>31.8</x:v>
      </x:c>
      <x:c r="H121" s="12" t="n">
        <x:v>2517</x:v>
      </x:c>
      <x:c r="I121" s="12" t="n">
        <x:v>7</x:v>
      </x:c>
      <x:c r="J121" s="12" t="n">
        <x:v>464</x:v>
      </x:c>
      <x:c r="K121" s="3" t="str">
        <x:v>Ср</x:v>
      </x:c>
      <x:c r="L121" s="8" t="n">
        <x:v>39.95</x:v>
      </x:c>
      <x:c r="M121" s="32" t="n">
        <x:v>23411.4</x:v>
      </x:c>
    </x:row>
    <x:row r="122" ht="23" customHeight="1">
      <x:c r="A122" s="11" t="n">
        <x:v>10117</x:v>
      </x:c>
      <x:c r="B122" s="31" t="n">
        <x:v>118</x:v>
      </x:c>
      <x:c r="C122" s="31" t="n">
        <x:v>67.9</x:v>
      </x:c>
      <x:c r="D122" s="11" t="n">
        <x:v>5</x:v>
      </x:c>
      <x:c r="E122" s="11" t="n">
        <x:v>16</x:v>
      </x:c>
      <x:c r="F122" s="11" t="n">
        <x:v>2014</x:v>
      </x:c>
      <x:c r="G122" s="31" t="n">
        <x:v>28.6</x:v>
      </x:c>
      <x:c r="H122" s="11" t="n">
        <x:v>2330</x:v>
      </x:c>
      <x:c r="I122" s="11" t="n">
        <x:v>9</x:v>
      </x:c>
      <x:c r="J122" s="11" t="n">
        <x:v>701</x:v>
      </x:c>
      <x:c r="K122" s="9" t="str">
        <x:v>Пт</x:v>
      </x:c>
      <x:c r="L122" s="10" t="n">
        <x:v>34.97</x:v>
      </x:c>
      <x:c r="M122" s="31" t="n">
        <x:v>22105.9</x:v>
      </x:c>
    </x:row>
    <x:row r="123" ht="23" customHeight="1">
      <x:c r="A123" s="12" t="n">
        <x:v>10118</x:v>
      </x:c>
      <x:c r="B123" s="32" t="n">
        <x:v>48.9</x:v>
      </x:c>
      <x:c r="C123" s="32" t="n">
        <x:v>29.3</x:v>
      </x:c>
      <x:c r="D123" s="12" t="n">
        <x:v>2</x:v>
      </x:c>
      <x:c r="E123" s="12" t="n">
        <x:v>19</x:v>
      </x:c>
      <x:c r="F123" s="12" t="n">
        <x:v>2019</x:v>
      </x:c>
      <x:c r="G123" s="32" t="n">
        <x:v>34.5</x:v>
      </x:c>
      <x:c r="H123" s="12" t="n">
        <x:v>2692</x:v>
      </x:c>
      <x:c r="I123" s="12" t="n">
        <x:v>7</x:v>
      </x:c>
      <x:c r="J123" s="12" t="n">
        <x:v>441</x:v>
      </x:c>
      <x:c r="K123" s="3" t="str">
        <x:v>Сб</x:v>
      </x:c>
      <x:c r="L123" s="8" t="n">
        <x:v>42.84</x:v>
      </x:c>
      <x:c r="M123" s="32" t="n">
        <x:v>9029.2</x:v>
      </x:c>
    </x:row>
    <x:row r="124" ht="23" customHeight="1">
      <x:c r="A124" s="11" t="n">
        <x:v>10119</x:v>
      </x:c>
      <x:c r="B124" s="31" t="n">
        <x:v>128</x:v>
      </x:c>
      <x:c r="C124" s="31" t="n">
        <x:v>72.1</x:v>
      </x:c>
      <x:c r="D124" s="11" t="n">
        <x:v>5</x:v>
      </x:c>
      <x:c r="E124" s="11" t="n">
        <x:v>23</x:v>
      </x:c>
      <x:c r="F124" s="11" t="n">
        <x:v>1974</x:v>
      </x:c>
      <x:c r="G124" s="31" t="n">
        <x:v>26.9</x:v>
      </x:c>
      <x:c r="H124" s="11" t="n">
        <x:v>2107</x:v>
      </x:c>
      <x:c r="I124" s="11" t="n">
        <x:v>3</x:v>
      </x:c>
      <x:c r="J124" s="11" t="n">
        <x:v>959</x:v>
      </x:c>
      <x:c r="K124" s="9" t="str">
        <x:v>Вс</x:v>
      </x:c>
      <x:c r="L124" s="10" t="n">
        <x:v>55.6</x:v>
      </x:c>
      <x:c r="M124" s="31" t="n">
        <x:v>21139.1</x:v>
      </x:c>
    </x:row>
    <x:row r="125" ht="23" customHeight="1">
      <x:c r="A125" s="12" t="n">
        <x:v>10120</x:v>
      </x:c>
      <x:c r="B125" s="32" t="n">
        <x:v>88.4</x:v>
      </x:c>
      <x:c r="C125" s="32" t="n">
        <x:v>58</x:v>
      </x:c>
      <x:c r="D125" s="12" t="n">
        <x:v>4</x:v>
      </x:c>
      <x:c r="E125" s="12" t="n">
        <x:v>6</x:v>
      </x:c>
      <x:c r="F125" s="12" t="n">
        <x:v>1999</x:v>
      </x:c>
      <x:c r="G125" s="32" t="n">
        <x:v>15</x:v>
      </x:c>
      <x:c r="H125" s="12" t="n">
        <x:v>1152</x:v>
      </x:c>
      <x:c r="I125" s="12" t="n">
        <x:v>6</x:v>
      </x:c>
      <x:c r="J125" s="12" t="n">
        <x:v>891</x:v>
      </x:c>
      <x:c r="K125" s="3" t="str">
        <x:v>Вт</x:v>
      </x:c>
      <x:c r="L125" s="8" t="n">
        <x:v>50.96</x:v>
      </x:c>
      <x:c r="M125" s="32" t="n">
        <x:v>16643.5</x:v>
      </x:c>
    </x:row>
    <x:row r="126" ht="23" customHeight="1">
      <x:c r="A126" s="11" t="n">
        <x:v>10121</x:v>
      </x:c>
      <x:c r="B126" s="31" t="n">
        <x:v>118.4</x:v>
      </x:c>
      <x:c r="C126" s="31" t="n">
        <x:v>68.3</x:v>
      </x:c>
      <x:c r="D126" s="11" t="n">
        <x:v>4</x:v>
      </x:c>
      <x:c r="E126" s="11" t="n">
        <x:v>24</x:v>
      </x:c>
      <x:c r="F126" s="11" t="n">
        <x:v>1993</x:v>
      </x:c>
      <x:c r="G126" s="31" t="n">
        <x:v>21.5</x:v>
      </x:c>
      <x:c r="H126" s="11" t="n">
        <x:v>1774</x:v>
      </x:c>
      <x:c r="I126" s="11" t="n">
        <x:v>7</x:v>
      </x:c>
      <x:c r="J126" s="11" t="n">
        <x:v>320</x:v>
      </x:c>
      <x:c r="K126" s="9" t="str">
        <x:v>Ср</x:v>
      </x:c>
      <x:c r="L126" s="10" t="n">
        <x:v>43.43</x:v>
      </x:c>
      <x:c r="M126" s="31" t="n">
        <x:v>21937.1</x:v>
      </x:c>
    </x:row>
    <x:row r="127" ht="23" customHeight="1">
      <x:c r="A127" s="12" t="n">
        <x:v>10122</x:v>
      </x:c>
      <x:c r="B127" s="32" t="n">
        <x:v>128.4</x:v>
      </x:c>
      <x:c r="C127" s="32" t="n">
        <x:v>88.9</x:v>
      </x:c>
      <x:c r="D127" s="12" t="n">
        <x:v>4</x:v>
      </x:c>
      <x:c r="E127" s="12" t="n">
        <x:v>19</x:v>
      </x:c>
      <x:c r="F127" s="12" t="n">
        <x:v>1972</x:v>
      </x:c>
      <x:c r="G127" s="32" t="n">
        <x:v>23.8</x:v>
      </x:c>
      <x:c r="H127" s="12" t="n">
        <x:v>1951</x:v>
      </x:c>
      <x:c r="I127" s="12" t="n">
        <x:v>2</x:v>
      </x:c>
      <x:c r="J127" s="12" t="n">
        <x:v>172</x:v>
      </x:c>
      <x:c r="K127" s="3" t="str">
        <x:v>Ср</x:v>
      </x:c>
      <x:c r="L127" s="8" t="n">
        <x:v>72.43</x:v>
      </x:c>
      <x:c r="M127" s="32" t="n">
        <x:v>21882.8</x:v>
      </x:c>
    </x:row>
    <x:row r="128" ht="23" customHeight="1">
      <x:c r="A128" s="11" t="n">
        <x:v>10123</x:v>
      </x:c>
      <x:c r="B128" s="31" t="n">
        <x:v>63.6</x:v>
      </x:c>
      <x:c r="C128" s="31" t="n">
        <x:v>38</x:v>
      </x:c>
      <x:c r="D128" s="11" t="n">
        <x:v>2</x:v>
      </x:c>
      <x:c r="E128" s="11" t="n">
        <x:v>5</x:v>
      </x:c>
      <x:c r="F128" s="11" t="n">
        <x:v>1980</x:v>
      </x:c>
      <x:c r="G128" s="31" t="n">
        <x:v>4.6</x:v>
      </x:c>
      <x:c r="H128" s="11" t="n">
        <x:v>392</x:v>
      </x:c>
      <x:c r="I128" s="11" t="n">
        <x:v>3</x:v>
      </x:c>
      <x:c r="J128" s="11" t="n">
        <x:v>845</x:v>
      </x:c>
      <x:c r="K128" s="9" t="str">
        <x:v>Пн</x:v>
      </x:c>
      <x:c r="L128" s="10" t="n">
        <x:v>19.84</x:v>
      </x:c>
      <x:c r="M128" s="31" t="n">
        <x:v>12891.5</x:v>
      </x:c>
    </x:row>
    <x:row r="129" ht="23" customHeight="1">
      <x:c r="A129" s="12" t="n">
        <x:v>10124</x:v>
      </x:c>
      <x:c r="B129" s="32" t="n">
        <x:v>40.3</x:v>
      </x:c>
      <x:c r="C129" s="32" t="n">
        <x:v>24.1</x:v>
      </x:c>
      <x:c r="D129" s="12" t="n">
        <x:v>2</x:v>
      </x:c>
      <x:c r="E129" s="12" t="n">
        <x:v>4</x:v>
      </x:c>
      <x:c r="F129" s="12" t="n">
        <x:v>2014</x:v>
      </x:c>
      <x:c r="G129" s="32" t="n">
        <x:v>20</x:v>
      </x:c>
      <x:c r="H129" s="12" t="n">
        <x:v>1654</x:v>
      </x:c>
      <x:c r="I129" s="12" t="n">
        <x:v>4</x:v>
      </x:c>
      <x:c r="J129" s="12" t="n">
        <x:v>871</x:v>
      </x:c>
      <x:c r="K129" s="3" t="str">
        <x:v>Чт</x:v>
      </x:c>
      <x:c r="L129" s="8" t="n">
        <x:v>54.59</x:v>
      </x:c>
      <x:c r="M129" s="32" t="n">
        <x:v>9351.4</x:v>
      </x:c>
    </x:row>
    <x:row r="130" ht="23" customHeight="1">
      <x:c r="A130" s="11" t="n">
        <x:v>10125</x:v>
      </x:c>
      <x:c r="B130" s="31" t="n">
        <x:v>53.5</x:v>
      </x:c>
      <x:c r="C130" s="31" t="n">
        <x:v>34.5</x:v>
      </x:c>
      <x:c r="D130" s="11" t="n">
        <x:v>2</x:v>
      </x:c>
      <x:c r="E130" s="11" t="n">
        <x:v>15</x:v>
      </x:c>
      <x:c r="F130" s="11" t="n">
        <x:v>1973</x:v>
      </x:c>
      <x:c r="G130" s="31" t="n">
        <x:v>25.4</x:v>
      </x:c>
      <x:c r="H130" s="11" t="n">
        <x:v>1988</x:v>
      </x:c>
      <x:c r="I130" s="11" t="n">
        <x:v>6</x:v>
      </x:c>
      <x:c r="J130" s="11" t="n">
        <x:v>724</x:v>
      </x:c>
      <x:c r="K130" s="9" t="str">
        <x:v>Сб</x:v>
      </x:c>
      <x:c r="L130" s="10" t="n">
        <x:v>47.86</x:v>
      </x:c>
      <x:c r="M130" s="31" t="n">
        <x:v>8842.6</x:v>
      </x:c>
    </x:row>
    <x:row r="131" ht="23" customHeight="1">
      <x:c r="A131" s="12" t="n">
        <x:v>10126</x:v>
      </x:c>
      <x:c r="B131" s="32" t="n">
        <x:v>75.8</x:v>
      </x:c>
      <x:c r="C131" s="32" t="n">
        <x:v>47</x:v>
      </x:c>
      <x:c r="D131" s="12" t="n">
        <x:v>3</x:v>
      </x:c>
      <x:c r="E131" s="12" t="n">
        <x:v>4</x:v>
      </x:c>
      <x:c r="F131" s="12" t="n">
        <x:v>1995</x:v>
      </x:c>
      <x:c r="G131" s="32" t="n">
        <x:v>7.5</x:v>
      </x:c>
      <x:c r="H131" s="12" t="n">
        <x:v>617</x:v>
      </x:c>
      <x:c r="I131" s="12" t="n">
        <x:v>1</x:v>
      </x:c>
      <x:c r="J131" s="12" t="n">
        <x:v>145</x:v>
      </x:c>
      <x:c r="K131" s="3" t="str">
        <x:v>Пн</x:v>
      </x:c>
      <x:c r="L131" s="8" t="n">
        <x:v>35.45</x:v>
      </x:c>
      <x:c r="M131" s="32" t="n">
        <x:v>15362.8</x:v>
      </x:c>
    </x:row>
    <x:row r="132" ht="23" customHeight="1">
      <x:c r="A132" s="11" t="n">
        <x:v>10127</x:v>
      </x:c>
      <x:c r="B132" s="31" t="n">
        <x:v>119.6</x:v>
      </x:c>
      <x:c r="C132" s="31" t="n">
        <x:v>78.8</x:v>
      </x:c>
      <x:c r="D132" s="11" t="n">
        <x:v>5</x:v>
      </x:c>
      <x:c r="E132" s="11" t="n">
        <x:v>20</x:v>
      </x:c>
      <x:c r="F132" s="11" t="n">
        <x:v>1996</x:v>
      </x:c>
      <x:c r="G132" s="31" t="n">
        <x:v>27.8</x:v>
      </x:c>
      <x:c r="H132" s="11" t="n">
        <x:v>2218</x:v>
      </x:c>
      <x:c r="I132" s="11" t="n">
        <x:v>9</x:v>
      </x:c>
      <x:c r="J132" s="11" t="n">
        <x:v>603</x:v>
      </x:c>
      <x:c r="K132" s="9" t="str">
        <x:v>Пт</x:v>
      </x:c>
      <x:c r="L132" s="10" t="n">
        <x:v>55.47</x:v>
      </x:c>
      <x:c r="M132" s="31" t="n">
        <x:v>21667.2</x:v>
      </x:c>
    </x:row>
    <x:row r="133" ht="23" customHeight="1">
      <x:c r="A133" s="12" t="n">
        <x:v>10128</x:v>
      </x:c>
      <x:c r="B133" s="32" t="n">
        <x:v>124.4</x:v>
      </x:c>
      <x:c r="C133" s="32" t="n">
        <x:v>81.3</x:v>
      </x:c>
      <x:c r="D133" s="12" t="n">
        <x:v>5</x:v>
      </x:c>
      <x:c r="E133" s="12" t="n">
        <x:v>10</x:v>
      </x:c>
      <x:c r="F133" s="12" t="n">
        <x:v>2015</x:v>
      </x:c>
      <x:c r="G133" s="32" t="n">
        <x:v>21.3</x:v>
      </x:c>
      <x:c r="H133" s="12" t="n">
        <x:v>1746</x:v>
      </x:c>
      <x:c r="I133" s="12" t="n">
        <x:v>5</x:v>
      </x:c>
      <x:c r="J133" s="12" t="n">
        <x:v>373</x:v>
      </x:c>
      <x:c r="K133" s="3" t="str">
        <x:v>Вт</x:v>
      </x:c>
      <x:c r="L133" s="8" t="n">
        <x:v>46.7</x:v>
      </x:c>
      <x:c r="M133" s="32" t="n">
        <x:v>22984.6</x:v>
      </x:c>
    </x:row>
    <x:row r="134" ht="23" customHeight="1">
      <x:c r="A134" s="11" t="n">
        <x:v>10129</x:v>
      </x:c>
      <x:c r="B134" s="31" t="n">
        <x:v>28.8</x:v>
      </x:c>
      <x:c r="C134" s="31" t="n">
        <x:v>17.9</x:v>
      </x:c>
      <x:c r="D134" s="11" t="n">
        <x:v>1</x:v>
      </x:c>
      <x:c r="E134" s="11" t="n">
        <x:v>24</x:v>
      </x:c>
      <x:c r="F134" s="11" t="n">
        <x:v>2023</x:v>
      </x:c>
      <x:c r="G134" s="31" t="n">
        <x:v>33.4</x:v>
      </x:c>
      <x:c r="H134" s="11" t="n">
        <x:v>2666</x:v>
      </x:c>
      <x:c r="I134" s="11" t="n">
        <x:v>7</x:v>
      </x:c>
      <x:c r="J134" s="11" t="n">
        <x:v>654</x:v>
      </x:c>
      <x:c r="K134" s="9" t="str">
        <x:v>Чт</x:v>
      </x:c>
      <x:c r="L134" s="10" t="n">
        <x:v>68.71</x:v>
      </x:c>
      <x:c r="M134" s="31" t="n">
        <x:v>5884.1</x:v>
      </x:c>
    </x:row>
    <x:row r="135" ht="23" customHeight="1">
      <x:c r="A135" s="12" t="n">
        <x:v>10130</x:v>
      </x:c>
      <x:c r="B135" s="32" t="n">
        <x:v>85.2</x:v>
      </x:c>
      <x:c r="C135" s="32" t="n">
        <x:v>55.9</x:v>
      </x:c>
      <x:c r="D135" s="12" t="n">
        <x:v>3</x:v>
      </x:c>
      <x:c r="E135" s="12" t="n">
        <x:v>22</x:v>
      </x:c>
      <x:c r="F135" s="12" t="n">
        <x:v>2012</x:v>
      </x:c>
      <x:c r="G135" s="32" t="n">
        <x:v>3.4</x:v>
      </x:c>
      <x:c r="H135" s="12" t="n">
        <x:v>253</x:v>
      </x:c>
      <x:c r="I135" s="12" t="n">
        <x:v>9</x:v>
      </x:c>
      <x:c r="J135" s="12" t="n">
        <x:v>307</x:v>
      </x:c>
      <x:c r="K135" s="3" t="str">
        <x:v>Пн</x:v>
      </x:c>
      <x:c r="L135" s="8" t="n">
        <x:v>63.02</x:v>
      </x:c>
      <x:c r="M135" s="32" t="n">
        <x:v>18743.8</x:v>
      </x:c>
    </x:row>
    <x:row r="136" ht="23" customHeight="1">
      <x:c r="A136" s="11" t="n">
        <x:v>10131</x:v>
      </x:c>
      <x:c r="B136" s="31" t="n">
        <x:v>74.8</x:v>
      </x:c>
      <x:c r="C136" s="31" t="n">
        <x:v>49.3</x:v>
      </x:c>
      <x:c r="D136" s="11" t="n">
        <x:v>3</x:v>
      </x:c>
      <x:c r="E136" s="11" t="n">
        <x:v>3</x:v>
      </x:c>
      <x:c r="F136" s="11" t="n">
        <x:v>1996</x:v>
      </x:c>
      <x:c r="G136" s="31" t="n">
        <x:v>10.8</x:v>
      </x:c>
      <x:c r="H136" s="11" t="n">
        <x:v>891</x:v>
      </x:c>
      <x:c r="I136" s="11" t="n">
        <x:v>9</x:v>
      </x:c>
      <x:c r="J136" s="11" t="n">
        <x:v>960</x:v>
      </x:c>
      <x:c r="K136" s="9" t="str">
        <x:v>Вс</x:v>
      </x:c>
      <x:c r="L136" s="10" t="n">
        <x:v>78.59</x:v>
      </x:c>
      <x:c r="M136" s="31" t="n">
        <x:v>14810.6</x:v>
      </x:c>
    </x:row>
    <x:row r="137" ht="23" customHeight="1">
      <x:c r="A137" s="12" t="n">
        <x:v>10132</x:v>
      </x:c>
      <x:c r="B137" s="32" t="n">
        <x:v>52.9</x:v>
      </x:c>
      <x:c r="C137" s="32" t="n">
        <x:v>35</x:v>
      </x:c>
      <x:c r="D137" s="12" t="n">
        <x:v>1</x:v>
      </x:c>
      <x:c r="E137" s="12" t="n">
        <x:v>5</x:v>
      </x:c>
      <x:c r="F137" s="12" t="n">
        <x:v>2011</x:v>
      </x:c>
      <x:c r="G137" s="32" t="n">
        <x:v>21.9</x:v>
      </x:c>
      <x:c r="H137" s="12" t="n">
        <x:v>1796</x:v>
      </x:c>
      <x:c r="I137" s="12" t="n">
        <x:v>1</x:v>
      </x:c>
      <x:c r="J137" s="12" t="n">
        <x:v>714</x:v>
      </x:c>
      <x:c r="K137" s="3" t="str">
        <x:v>Ср</x:v>
      </x:c>
      <x:c r="L137" s="8" t="n">
        <x:v>42.75</x:v>
      </x:c>
      <x:c r="M137" s="32" t="n">
        <x:v>10676.8</x:v>
      </x:c>
    </x:row>
    <x:row r="138" ht="23" customHeight="1">
      <x:c r="A138" s="11" t="n">
        <x:v>10133</x:v>
      </x:c>
      <x:c r="B138" s="31" t="n">
        <x:v>41.4</x:v>
      </x:c>
      <x:c r="C138" s="31" t="n">
        <x:v>27.5</x:v>
      </x:c>
      <x:c r="D138" s="11" t="n">
        <x:v>1</x:v>
      </x:c>
      <x:c r="E138" s="11" t="n">
        <x:v>6</x:v>
      </x:c>
      <x:c r="F138" s="11" t="n">
        <x:v>2020</x:v>
      </x:c>
      <x:c r="G138" s="31" t="n">
        <x:v>11.8</x:v>
      </x:c>
      <x:c r="H138" s="11" t="n">
        <x:v>911</x:v>
      </x:c>
      <x:c r="I138" s="11" t="n">
        <x:v>1</x:v>
      </x:c>
      <x:c r="J138" s="11" t="n">
        <x:v>223</x:v>
      </x:c>
      <x:c r="K138" s="9" t="str">
        <x:v>Ср</x:v>
      </x:c>
      <x:c r="L138" s="10" t="n">
        <x:v>70.95</x:v>
      </x:c>
      <x:c r="M138" s="31" t="n">
        <x:v>10009</x:v>
      </x:c>
    </x:row>
    <x:row r="139" ht="23" customHeight="1">
      <x:c r="A139" s="12" t="n">
        <x:v>10134</x:v>
      </x:c>
      <x:c r="B139" s="32" t="n">
        <x:v>65.8</x:v>
      </x:c>
      <x:c r="C139" s="32" t="n">
        <x:v>36.9</x:v>
      </x:c>
      <x:c r="D139" s="12" t="n">
        <x:v>3</x:v>
      </x:c>
      <x:c r="E139" s="12" t="n">
        <x:v>21</x:v>
      </x:c>
      <x:c r="F139" s="12" t="n">
        <x:v>2019</x:v>
      </x:c>
      <x:c r="G139" s="32" t="n">
        <x:v>25.6</x:v>
      </x:c>
      <x:c r="H139" s="12" t="n">
        <x:v>2045</x:v>
      </x:c>
      <x:c r="I139" s="12" t="n">
        <x:v>3</x:v>
      </x:c>
      <x:c r="J139" s="12" t="n">
        <x:v>109</x:v>
      </x:c>
      <x:c r="K139" s="3" t="str">
        <x:v>Чт</x:v>
      </x:c>
      <x:c r="L139" s="8" t="n">
        <x:v>32.51</x:v>
      </x:c>
      <x:c r="M139" s="32" t="n">
        <x:v>13648.2</x:v>
      </x:c>
    </x:row>
    <x:row r="140" ht="23" customHeight="1">
      <x:c r="A140" s="11" t="n">
        <x:v>10135</x:v>
      </x:c>
      <x:c r="B140" s="31" t="n">
        <x:v>133.6</x:v>
      </x:c>
      <x:c r="C140" s="31" t="n">
        <x:v>73.3</x:v>
      </x:c>
      <x:c r="D140" s="11" t="n">
        <x:v>5</x:v>
      </x:c>
      <x:c r="E140" s="11" t="n">
        <x:v>22</x:v>
      </x:c>
      <x:c r="F140" s="11" t="n">
        <x:v>1975</x:v>
      </x:c>
      <x:c r="G140" s="31" t="n">
        <x:v>27</x:v>
      </x:c>
      <x:c r="H140" s="11" t="n">
        <x:v>2107</x:v>
      </x:c>
      <x:c r="I140" s="11" t="n">
        <x:v>6</x:v>
      </x:c>
      <x:c r="J140" s="11" t="n">
        <x:v>428</x:v>
      </x:c>
      <x:c r="K140" s="9" t="str">
        <x:v>Ср</x:v>
      </x:c>
      <x:c r="L140" s="10" t="n">
        <x:v>48.34</x:v>
      </x:c>
      <x:c r="M140" s="31" t="n">
        <x:v>23176.1</x:v>
      </x:c>
    </x:row>
    <x:row r="141" ht="23" customHeight="1">
      <x:c r="A141" s="12" t="n">
        <x:v>10136</x:v>
      </x:c>
      <x:c r="B141" s="32" t="n">
        <x:v>64.2</x:v>
      </x:c>
      <x:c r="C141" s="32" t="n">
        <x:v>37.9</x:v>
      </x:c>
      <x:c r="D141" s="12" t="n">
        <x:v>4</x:v>
      </x:c>
      <x:c r="E141" s="12" t="n">
        <x:v>8</x:v>
      </x:c>
      <x:c r="F141" s="12" t="n">
        <x:v>1984</x:v>
      </x:c>
      <x:c r="G141" s="32" t="n">
        <x:v>5.4</x:v>
      </x:c>
      <x:c r="H141" s="12" t="n">
        <x:v>307</x:v>
      </x:c>
      <x:c r="I141" s="12" t="n">
        <x:v>2</x:v>
      </x:c>
      <x:c r="J141" s="12" t="n">
        <x:v>286</x:v>
      </x:c>
      <x:c r="K141" s="3" t="str">
        <x:v>Вс</x:v>
      </x:c>
      <x:c r="L141" s="8" t="n">
        <x:v>43.02</x:v>
      </x:c>
      <x:c r="M141" s="32" t="n">
        <x:v>13214</x:v>
      </x:c>
    </x:row>
    <x:row r="142" ht="23" customHeight="1">
      <x:c r="A142" s="11" t="n">
        <x:v>10137</x:v>
      </x:c>
      <x:c r="B142" s="31" t="n">
        <x:v>86.1</x:v>
      </x:c>
      <x:c r="C142" s="31" t="n">
        <x:v>57</x:v>
      </x:c>
      <x:c r="D142" s="11" t="n">
        <x:v>4</x:v>
      </x:c>
      <x:c r="E142" s="11" t="n">
        <x:v>7</x:v>
      </x:c>
      <x:c r="F142" s="11" t="n">
        <x:v>2022</x:v>
      </x:c>
      <x:c r="G142" s="31" t="n">
        <x:v>19</x:v>
      </x:c>
      <x:c r="H142" s="11" t="n">
        <x:v>1530</x:v>
      </x:c>
      <x:c r="I142" s="11" t="n">
        <x:v>1</x:v>
      </x:c>
      <x:c r="J142" s="11" t="n">
        <x:v>642</x:v>
      </x:c>
      <x:c r="K142" s="9" t="str">
        <x:v>Пн</x:v>
      </x:c>
      <x:c r="L142" s="10" t="n">
        <x:v>59.04</x:v>
      </x:c>
      <x:c r="M142" s="31" t="n">
        <x:v>17792.5</x:v>
      </x:c>
    </x:row>
    <x:row r="143" ht="23" customHeight="1">
      <x:c r="A143" s="12" t="n">
        <x:v>10138</x:v>
      </x:c>
      <x:c r="B143" s="32" t="n">
        <x:v>106.7</x:v>
      </x:c>
      <x:c r="C143" s="32" t="n">
        <x:v>66.4</x:v>
      </x:c>
      <x:c r="D143" s="12" t="n">
        <x:v>4</x:v>
      </x:c>
      <x:c r="E143" s="12" t="n">
        <x:v>21</x:v>
      </x:c>
      <x:c r="F143" s="12" t="n">
        <x:v>1999</x:v>
      </x:c>
      <x:c r="G143" s="32" t="n">
        <x:v>18.8</x:v>
      </x:c>
      <x:c r="H143" s="12" t="n">
        <x:v>1534</x:v>
      </x:c>
      <x:c r="I143" s="12" t="n">
        <x:v>1</x:v>
      </x:c>
      <x:c r="J143" s="12" t="n">
        <x:v>767</x:v>
      </x:c>
      <x:c r="K143" s="3" t="str">
        <x:v>Пн</x:v>
      </x:c>
      <x:c r="L143" s="8" t="n">
        <x:v>58.67</x:v>
      </x:c>
      <x:c r="M143" s="32" t="n">
        <x:v>20834.5</x:v>
      </x:c>
    </x:row>
    <x:row r="144" ht="23" customHeight="1">
      <x:c r="A144" s="11" t="n">
        <x:v>10139</x:v>
      </x:c>
      <x:c r="B144" s="31" t="n">
        <x:v>68.7</x:v>
      </x:c>
      <x:c r="C144" s="31" t="n">
        <x:v>40.5</x:v>
      </x:c>
      <x:c r="D144" s="11" t="n">
        <x:v>2</x:v>
      </x:c>
      <x:c r="E144" s="11" t="n">
        <x:v>10</x:v>
      </x:c>
      <x:c r="F144" s="11" t="n">
        <x:v>2011</x:v>
      </x:c>
      <x:c r="G144" s="31" t="n">
        <x:v>14.2</x:v>
      </x:c>
      <x:c r="H144" s="11" t="n">
        <x:v>1149</x:v>
      </x:c>
      <x:c r="I144" s="11" t="n">
        <x:v>5</x:v>
      </x:c>
      <x:c r="J144" s="11" t="n">
        <x:v>159</x:v>
      </x:c>
      <x:c r="K144" s="9" t="str">
        <x:v>Ср</x:v>
      </x:c>
      <x:c r="L144" s="10" t="n">
        <x:v>36.49</x:v>
      </x:c>
      <x:c r="M144" s="31" t="n">
        <x:v>15228.1</x:v>
      </x:c>
    </x:row>
    <x:row r="145" ht="23" customHeight="1">
      <x:c r="A145" s="12" t="n">
        <x:v>10140</x:v>
      </x:c>
      <x:c r="B145" s="32" t="n">
        <x:v>136.8</x:v>
      </x:c>
      <x:c r="C145" s="32" t="n">
        <x:v>93</x:v>
      </x:c>
      <x:c r="D145" s="12" t="n">
        <x:v>5</x:v>
      </x:c>
      <x:c r="E145" s="12" t="n">
        <x:v>6</x:v>
      </x:c>
      <x:c r="F145" s="12" t="n">
        <x:v>2006</x:v>
      </x:c>
      <x:c r="G145" s="32" t="n">
        <x:v>32.8</x:v>
      </x:c>
      <x:c r="H145" s="12" t="n">
        <x:v>2527</x:v>
      </x:c>
      <x:c r="I145" s="12" t="n">
        <x:v>4</x:v>
      </x:c>
      <x:c r="J145" s="12" t="n">
        <x:v>860</x:v>
      </x:c>
      <x:c r="K145" s="3" t="str">
        <x:v>Ср</x:v>
      </x:c>
      <x:c r="L145" s="8" t="n">
        <x:v>59.87</x:v>
      </x:c>
      <x:c r="M145" s="32" t="n">
        <x:v>23803.4</x:v>
      </x:c>
    </x:row>
    <x:row r="146" ht="23" customHeight="1">
      <x:c r="A146" s="11" t="n">
        <x:v>10141</x:v>
      </x:c>
      <x:c r="B146" s="31" t="n">
        <x:v>135.8</x:v>
      </x:c>
      <x:c r="C146" s="31" t="n">
        <x:v>94.7</x:v>
      </x:c>
      <x:c r="D146" s="11" t="n">
        <x:v>5</x:v>
      </x:c>
      <x:c r="E146" s="11" t="n">
        <x:v>14</x:v>
      </x:c>
      <x:c r="F146" s="11" t="n">
        <x:v>2006</x:v>
      </x:c>
      <x:c r="G146" s="31" t="n">
        <x:v>29.3</x:v>
      </x:c>
      <x:c r="H146" s="11" t="n">
        <x:v>2326</x:v>
      </x:c>
      <x:c r="I146" s="11" t="n">
        <x:v>1</x:v>
      </x:c>
      <x:c r="J146" s="11" t="n">
        <x:v>998</x:v>
      </x:c>
      <x:c r="K146" s="9" t="str">
        <x:v>Пт</x:v>
      </x:c>
      <x:c r="L146" s="10" t="n">
        <x:v>44.29</x:v>
      </x:c>
      <x:c r="M146" s="31" t="n">
        <x:v>25492.7</x:v>
      </x:c>
    </x:row>
    <x:row r="147" ht="23" customHeight="1">
      <x:c r="A147" s="12" t="n">
        <x:v>10142</x:v>
      </x:c>
      <x:c r="B147" s="32" t="n">
        <x:v>56.2</x:v>
      </x:c>
      <x:c r="C147" s="32" t="n">
        <x:v>39.9</x:v>
      </x:c>
      <x:c r="D147" s="12" t="n">
        <x:v>2</x:v>
      </x:c>
      <x:c r="E147" s="12" t="n">
        <x:v>4</x:v>
      </x:c>
      <x:c r="F147" s="12" t="n">
        <x:v>2011</x:v>
      </x:c>
      <x:c r="G147" s="32" t="n">
        <x:v>25</x:v>
      </x:c>
      <x:c r="H147" s="12" t="n">
        <x:v>1889</x:v>
      </x:c>
      <x:c r="I147" s="12" t="n">
        <x:v>4</x:v>
      </x:c>
      <x:c r="J147" s="12" t="n">
        <x:v>985</x:v>
      </x:c>
      <x:c r="K147" s="3" t="str">
        <x:v>Вт</x:v>
      </x:c>
      <x:c r="L147" s="8" t="n">
        <x:v>37.75</x:v>
      </x:c>
      <x:c r="M147" s="32" t="n">
        <x:v>10391.5</x:v>
      </x:c>
    </x:row>
    <x:row r="148" ht="23" customHeight="1">
      <x:c r="A148" s="11" t="n">
        <x:v>10143</x:v>
      </x:c>
      <x:c r="B148" s="31" t="n">
        <x:v>83.7</x:v>
      </x:c>
      <x:c r="C148" s="31" t="n">
        <x:v>47.9</x:v>
      </x:c>
      <x:c r="D148" s="11" t="n">
        <x:v>5</x:v>
      </x:c>
      <x:c r="E148" s="11" t="n">
        <x:v>25</x:v>
      </x:c>
      <x:c r="F148" s="11" t="n">
        <x:v>2006</x:v>
      </x:c>
      <x:c r="G148" s="31" t="n">
        <x:v>25.6</x:v>
      </x:c>
      <x:c r="H148" s="11" t="n">
        <x:v>2116</x:v>
      </x:c>
      <x:c r="I148" s="11" t="n">
        <x:v>3</x:v>
      </x:c>
      <x:c r="J148" s="11" t="n">
        <x:v>881</x:v>
      </x:c>
      <x:c r="K148" s="9" t="str">
        <x:v>Чт</x:v>
      </x:c>
      <x:c r="L148" s="10" t="n">
        <x:v>49.82</x:v>
      </x:c>
      <x:c r="M148" s="31" t="n">
        <x:v>16706.4</x:v>
      </x:c>
    </x:row>
    <x:row r="149" ht="23" customHeight="1">
      <x:c r="A149" s="12" t="n">
        <x:v>10144</x:v>
      </x:c>
      <x:c r="B149" s="32" t="n">
        <x:v>61.7</x:v>
      </x:c>
      <x:c r="C149" s="32" t="n">
        <x:v>40.9</x:v>
      </x:c>
      <x:c r="D149" s="12" t="n">
        <x:v>2</x:v>
      </x:c>
      <x:c r="E149" s="12" t="n">
        <x:v>13</x:v>
      </x:c>
      <x:c r="F149" s="12" t="n">
        <x:v>2004</x:v>
      </x:c>
      <x:c r="G149" s="32" t="n">
        <x:v>17.2</x:v>
      </x:c>
      <x:c r="H149" s="12" t="n">
        <x:v>1322</x:v>
      </x:c>
      <x:c r="I149" s="12" t="n">
        <x:v>2</x:v>
      </x:c>
      <x:c r="J149" s="12" t="n">
        <x:v>541</x:v>
      </x:c>
      <x:c r="K149" s="3" t="str">
        <x:v>Пн</x:v>
      </x:c>
      <x:c r="L149" s="8" t="n">
        <x:v>27.85</x:v>
      </x:c>
      <x:c r="M149" s="32" t="n">
        <x:v>12168.2</x:v>
      </x:c>
    </x:row>
    <x:row r="150" ht="23" customHeight="1">
      <x:c r="A150" s="11" t="n">
        <x:v>10145</x:v>
      </x:c>
      <x:c r="B150" s="31" t="n">
        <x:v>59.9</x:v>
      </x:c>
      <x:c r="C150" s="31" t="n">
        <x:v>32.4</x:v>
      </x:c>
      <x:c r="D150" s="11" t="n">
        <x:v>3</x:v>
      </x:c>
      <x:c r="E150" s="11" t="n">
        <x:v>20</x:v>
      </x:c>
      <x:c r="F150" s="11" t="n">
        <x:v>1992</x:v>
      </x:c>
      <x:c r="G150" s="31" t="n">
        <x:v>32.4</x:v>
      </x:c>
      <x:c r="H150" s="11" t="n">
        <x:v>2655</x:v>
      </x:c>
      <x:c r="I150" s="11" t="n">
        <x:v>9</x:v>
      </x:c>
      <x:c r="J150" s="11" t="n">
        <x:v>316</x:v>
      </x:c>
      <x:c r="K150" s="9" t="str">
        <x:v>Чт</x:v>
      </x:c>
      <x:c r="L150" s="10" t="n">
        <x:v>63.97</x:v>
      </x:c>
      <x:c r="M150" s="31" t="n">
        <x:v>10263.5</x:v>
      </x:c>
    </x:row>
    <x:row r="151" ht="23" customHeight="1">
      <x:c r="A151" s="12" t="n">
        <x:v>10146</x:v>
      </x:c>
      <x:c r="B151" s="32" t="n">
        <x:v>32.1</x:v>
      </x:c>
      <x:c r="C151" s="32" t="n">
        <x:v>18.6</x:v>
      </x:c>
      <x:c r="D151" s="12" t="n">
        <x:v>1</x:v>
      </x:c>
      <x:c r="E151" s="12" t="n">
        <x:v>17</x:v>
      </x:c>
      <x:c r="F151" s="12" t="n">
        <x:v>1975</x:v>
      </x:c>
      <x:c r="G151" s="32" t="n">
        <x:v>24.9</x:v>
      </x:c>
      <x:c r="H151" s="12" t="n">
        <x:v>2039</x:v>
      </x:c>
      <x:c r="I151" s="12" t="n">
        <x:v>1</x:v>
      </x:c>
      <x:c r="J151" s="12" t="n">
        <x:v>101</x:v>
      </x:c>
      <x:c r="K151" s="3" t="str">
        <x:v>Пт</x:v>
      </x:c>
      <x:c r="L151" s="8" t="n">
        <x:v>49.17</x:v>
      </x:c>
      <x:c r="M151" s="32" t="n">
        <x:v>5325.4</x:v>
      </x:c>
    </x:row>
    <x:row r="152" ht="23" customHeight="1">
      <x:c r="A152" s="11" t="n">
        <x:v>10147</x:v>
      </x:c>
      <x:c r="B152" s="31" t="n">
        <x:v>96.3</x:v>
      </x:c>
      <x:c r="C152" s="31" t="n">
        <x:v>58.5</x:v>
      </x:c>
      <x:c r="D152" s="11" t="n">
        <x:v>4</x:v>
      </x:c>
      <x:c r="E152" s="11" t="n">
        <x:v>23</x:v>
      </x:c>
      <x:c r="F152" s="11" t="n">
        <x:v>1973</x:v>
      </x:c>
      <x:c r="G152" s="31" t="n">
        <x:v>26.1</x:v>
      </x:c>
      <x:c r="H152" s="11" t="n">
        <x:v>2043</x:v>
      </x:c>
      <x:c r="I152" s="11" t="n">
        <x:v>7</x:v>
      </x:c>
      <x:c r="J152" s="11" t="n">
        <x:v>635</x:v>
      </x:c>
      <x:c r="K152" s="9" t="str">
        <x:v>Пн</x:v>
      </x:c>
      <x:c r="L152" s="10" t="n">
        <x:v>49.49</x:v>
      </x:c>
      <x:c r="M152" s="31" t="n">
        <x:v>16077.9</x:v>
      </x:c>
    </x:row>
    <x:row r="153" ht="23" customHeight="1">
      <x:c r="A153" s="12" t="n">
        <x:v>10148</x:v>
      </x:c>
      <x:c r="B153" s="32" t="n">
        <x:v>84.3</x:v>
      </x:c>
      <x:c r="C153" s="32" t="n">
        <x:v>49.3</x:v>
      </x:c>
      <x:c r="D153" s="12" t="n">
        <x:v>4</x:v>
      </x:c>
      <x:c r="E153" s="12" t="n">
        <x:v>7</x:v>
      </x:c>
      <x:c r="F153" s="12" t="n">
        <x:v>1987</x:v>
      </x:c>
      <x:c r="G153" s="32" t="n">
        <x:v>30.4</x:v>
      </x:c>
      <x:c r="H153" s="12" t="n">
        <x:v>2375</x:v>
      </x:c>
      <x:c r="I153" s="12" t="n">
        <x:v>4</x:v>
      </x:c>
      <x:c r="J153" s="12" t="n">
        <x:v>817</x:v>
      </x:c>
      <x:c r="K153" s="3" t="str">
        <x:v>Пт</x:v>
      </x:c>
      <x:c r="L153" s="8" t="n">
        <x:v>48.69</x:v>
      </x:c>
      <x:c r="M153" s="32" t="n">
        <x:v>14308.5</x:v>
      </x:c>
    </x:row>
    <x:row r="154" ht="23" customHeight="1">
      <x:c r="A154" s="11" t="n">
        <x:v>10149</x:v>
      </x:c>
      <x:c r="B154" s="31" t="n">
        <x:v>33.8</x:v>
      </x:c>
      <x:c r="C154" s="31" t="n">
        <x:v>19.5</x:v>
      </x:c>
      <x:c r="D154" s="11" t="n">
        <x:v>1</x:v>
      </x:c>
      <x:c r="E154" s="11" t="n">
        <x:v>4</x:v>
      </x:c>
      <x:c r="F154" s="11" t="n">
        <x:v>1978</x:v>
      </x:c>
      <x:c r="G154" s="31" t="n">
        <x:v>11</x:v>
      </x:c>
      <x:c r="H154" s="11" t="n">
        <x:v>898</x:v>
      </x:c>
      <x:c r="I154" s="11" t="n">
        <x:v>5</x:v>
      </x:c>
      <x:c r="J154" s="11" t="n">
        <x:v>931</x:v>
      </x:c>
      <x:c r="K154" s="9" t="str">
        <x:v>Пт</x:v>
      </x:c>
      <x:c r="L154" s="10" t="n">
        <x:v>74.7</x:v>
      </x:c>
      <x:c r="M154" s="31" t="n">
        <x:v>6443.1</x:v>
      </x:c>
    </x:row>
    <x:row r="155" ht="23" customHeight="1">
      <x:c r="A155" s="12" t="n">
        <x:v>10150</x:v>
      </x:c>
      <x:c r="B155" s="32" t="n">
        <x:v>59.2</x:v>
      </x:c>
      <x:c r="C155" s="32" t="n">
        <x:v>41.1</x:v>
      </x:c>
      <x:c r="D155" s="12" t="n">
        <x:v>3</x:v>
      </x:c>
      <x:c r="E155" s="12" t="n">
        <x:v>14</x:v>
      </x:c>
      <x:c r="F155" s="12" t="n">
        <x:v>2018</x:v>
      </x:c>
      <x:c r="G155" s="32" t="n">
        <x:v>28.6</x:v>
      </x:c>
      <x:c r="H155" s="12" t="n">
        <x:v>2246</x:v>
      </x:c>
      <x:c r="I155" s="12" t="n">
        <x:v>5</x:v>
      </x:c>
      <x:c r="J155" s="12" t="n">
        <x:v>810</x:v>
      </x:c>
      <x:c r="K155" s="3" t="str">
        <x:v>Сб</x:v>
      </x:c>
      <x:c r="L155" s="8" t="n">
        <x:v>72.78</x:v>
      </x:c>
      <x:c r="M155" s="32" t="n">
        <x:v>11027.3</x:v>
      </x:c>
    </x:row>
    <x:row r="156" ht="23" customHeight="1">
      <x:c r="A156" s="11" t="n">
        <x:v>10151</x:v>
      </x:c>
      <x:c r="B156" s="31" t="n">
        <x:v>129.7</x:v>
      </x:c>
      <x:c r="C156" s="31" t="n">
        <x:v>71.4</x:v>
      </x:c>
      <x:c r="D156" s="11" t="n">
        <x:v>5</x:v>
      </x:c>
      <x:c r="E156" s="11" t="n">
        <x:v>3</x:v>
      </x:c>
      <x:c r="F156" s="11" t="n">
        <x:v>1998</x:v>
      </x:c>
      <x:c r="G156" s="31" t="n">
        <x:v>8.4</x:v>
      </x:c>
      <x:c r="H156" s="11" t="n">
        <x:v>677</x:v>
      </x:c>
      <x:c r="I156" s="11" t="n">
        <x:v>1</x:v>
      </x:c>
      <x:c r="J156" s="11" t="n">
        <x:v>455</x:v>
      </x:c>
      <x:c r="K156" s="9" t="str">
        <x:v>Ср</x:v>
      </x:c>
      <x:c r="L156" s="10" t="n">
        <x:v>70.26</x:v>
      </x:c>
      <x:c r="M156" s="31" t="n">
        <x:v>24702.1</x:v>
      </x:c>
    </x:row>
    <x:row r="157" ht="23" customHeight="1">
      <x:c r="A157" s="12" t="n">
        <x:v>10152</x:v>
      </x:c>
      <x:c r="B157" s="32" t="n">
        <x:v>54.8</x:v>
      </x:c>
      <x:c r="C157" s="32" t="n">
        <x:v>35.2</x:v>
      </x:c>
      <x:c r="D157" s="12" t="n">
        <x:v>2</x:v>
      </x:c>
      <x:c r="E157" s="12" t="n">
        <x:v>24</x:v>
      </x:c>
      <x:c r="F157" s="12" t="n">
        <x:v>1982</x:v>
      </x:c>
      <x:c r="G157" s="32" t="n">
        <x:v>13.4</x:v>
      </x:c>
      <x:c r="H157" s="12" t="n">
        <x:v>1048</x:v>
      </x:c>
      <x:c r="I157" s="12" t="n">
        <x:v>6</x:v>
      </x:c>
      <x:c r="J157" s="12" t="n">
        <x:v>725</x:v>
      </x:c>
      <x:c r="K157" s="3" t="str">
        <x:v>Вс</x:v>
      </x:c>
      <x:c r="L157" s="8" t="n">
        <x:v>48.72</x:v>
      </x:c>
      <x:c r="M157" s="32" t="n">
        <x:v>11552.4</x:v>
      </x:c>
    </x:row>
    <x:row r="158" ht="23" customHeight="1">
      <x:c r="A158" s="11" t="n">
        <x:v>10153</x:v>
      </x:c>
      <x:c r="B158" s="31" t="n">
        <x:v>44.2</x:v>
      </x:c>
      <x:c r="C158" s="31" t="n">
        <x:v>28.7</x:v>
      </x:c>
      <x:c r="D158" s="11" t="n">
        <x:v>2</x:v>
      </x:c>
      <x:c r="E158" s="11" t="n">
        <x:v>5</x:v>
      </x:c>
      <x:c r="F158" s="11" t="n">
        <x:v>2016</x:v>
      </x:c>
      <x:c r="G158" s="31" t="n">
        <x:v>13.1</x:v>
      </x:c>
      <x:c r="H158" s="11" t="n">
        <x:v>959</x:v>
      </x:c>
      <x:c r="I158" s="11" t="n">
        <x:v>9</x:v>
      </x:c>
      <x:c r="J158" s="11" t="n">
        <x:v>891</x:v>
      </x:c>
      <x:c r="K158" s="9" t="str">
        <x:v>Сб</x:v>
      </x:c>
      <x:c r="L158" s="10" t="n">
        <x:v>33.27</x:v>
      </x:c>
      <x:c r="M158" s="31" t="n">
        <x:v>10046.2</x:v>
      </x:c>
    </x:row>
    <x:row r="159" ht="23" customHeight="1">
      <x:c r="A159" s="12" t="n">
        <x:v>10154</x:v>
      </x:c>
      <x:c r="B159" s="32" t="n">
        <x:v>82.8</x:v>
      </x:c>
      <x:c r="C159" s="32" t="n">
        <x:v>48.2</x:v>
      </x:c>
      <x:c r="D159" s="12" t="n">
        <x:v>4</x:v>
      </x:c>
      <x:c r="E159" s="12" t="n">
        <x:v>16</x:v>
      </x:c>
      <x:c r="F159" s="12" t="n">
        <x:v>2021</x:v>
      </x:c>
      <x:c r="G159" s="32" t="n">
        <x:v>34.3</x:v>
      </x:c>
      <x:c r="H159" s="12" t="n">
        <x:v>2632</x:v>
      </x:c>
      <x:c r="I159" s="12" t="n">
        <x:v>2</x:v>
      </x:c>
      <x:c r="J159" s="12" t="n">
        <x:v>766</x:v>
      </x:c>
      <x:c r="K159" s="3" t="str">
        <x:v>Чт</x:v>
      </x:c>
      <x:c r="L159" s="8" t="n">
        <x:v>49.76</x:v>
      </x:c>
      <x:c r="M159" s="32" t="n">
        <x:v>15770</x:v>
      </x:c>
    </x:row>
    <x:row r="160" ht="23" customHeight="1">
      <x:c r="A160" s="11" t="n">
        <x:v>10155</x:v>
      </x:c>
      <x:c r="B160" s="31" t="n">
        <x:v>138.4</x:v>
      </x:c>
      <x:c r="C160" s="31" t="n">
        <x:v>86</x:v>
      </x:c>
      <x:c r="D160" s="11" t="n">
        <x:v>5</x:v>
      </x:c>
      <x:c r="E160" s="11" t="n">
        <x:v>23</x:v>
      </x:c>
      <x:c r="F160" s="11" t="n">
        <x:v>1986</x:v>
      </x:c>
      <x:c r="G160" s="31" t="n">
        <x:v>30.3</x:v>
      </x:c>
      <x:c r="H160" s="11" t="n">
        <x:v>2435</x:v>
      </x:c>
      <x:c r="I160" s="11" t="n">
        <x:v>7</x:v>
      </x:c>
      <x:c r="J160" s="11" t="n">
        <x:v>264</x:v>
      </x:c>
      <x:c r="K160" s="9" t="str">
        <x:v>Вс</x:v>
      </x:c>
      <x:c r="L160" s="10" t="n">
        <x:v>54.72</x:v>
      </x:c>
      <x:c r="M160" s="31" t="n">
        <x:v>23641</x:v>
      </x:c>
    </x:row>
    <x:row r="161" ht="23" customHeight="1">
      <x:c r="A161" s="12" t="n">
        <x:v>10156</x:v>
      </x:c>
      <x:c r="B161" s="32" t="n">
        <x:v>55.1</x:v>
      </x:c>
      <x:c r="C161" s="32" t="n">
        <x:v>33.9</x:v>
      </x:c>
      <x:c r="D161" s="12" t="n">
        <x:v>1</x:v>
      </x:c>
      <x:c r="E161" s="12" t="n">
        <x:v>20</x:v>
      </x:c>
      <x:c r="F161" s="12" t="n">
        <x:v>2014</x:v>
      </x:c>
      <x:c r="G161" s="32" t="n">
        <x:v>25.1</x:v>
      </x:c>
      <x:c r="H161" s="12" t="n">
        <x:v>1980</x:v>
      </x:c>
      <x:c r="I161" s="12" t="n">
        <x:v>6</x:v>
      </x:c>
      <x:c r="J161" s="12" t="n">
        <x:v>833</x:v>
      </x:c>
      <x:c r="K161" s="3" t="str">
        <x:v>Чт</x:v>
      </x:c>
      <x:c r="L161" s="8" t="n">
        <x:v>62.19</x:v>
      </x:c>
      <x:c r="M161" s="32" t="n">
        <x:v>10560.4</x:v>
      </x:c>
    </x:row>
    <x:row r="162" ht="23" customHeight="1">
      <x:c r="A162" s="11" t="n">
        <x:v>10157</x:v>
      </x:c>
      <x:c r="B162" s="31" t="n">
        <x:v>103.3</x:v>
      </x:c>
      <x:c r="C162" s="31" t="n">
        <x:v>66.7</x:v>
      </x:c>
      <x:c r="D162" s="11" t="n">
        <x:v>4</x:v>
      </x:c>
      <x:c r="E162" s="11" t="n">
        <x:v>4</x:v>
      </x:c>
      <x:c r="F162" s="11" t="n">
        <x:v>2001</x:v>
      </x:c>
      <x:c r="G162" s="31" t="n">
        <x:v>26</x:v>
      </x:c>
      <x:c r="H162" s="11" t="n">
        <x:v>2052</x:v>
      </x:c>
      <x:c r="I162" s="11" t="n">
        <x:v>5</x:v>
      </x:c>
      <x:c r="J162" s="11" t="n">
        <x:v>190</x:v>
      </x:c>
      <x:c r="K162" s="9" t="str">
        <x:v>Ср</x:v>
      </x:c>
      <x:c r="L162" s="10" t="n">
        <x:v>54.67</x:v>
      </x:c>
      <x:c r="M162" s="31" t="n">
        <x:v>18786.7</x:v>
      </x:c>
    </x:row>
    <x:row r="163" ht="23" customHeight="1">
      <x:c r="A163" s="12" t="n">
        <x:v>10158</x:v>
      </x:c>
      <x:c r="B163" s="32" t="n">
        <x:v>113.3</x:v>
      </x:c>
      <x:c r="C163" s="32" t="n">
        <x:v>70.1</x:v>
      </x:c>
      <x:c r="D163" s="12" t="n">
        <x:v>4</x:v>
      </x:c>
      <x:c r="E163" s="12" t="n">
        <x:v>24</x:v>
      </x:c>
      <x:c r="F163" s="12" t="n">
        <x:v>2017</x:v>
      </x:c>
      <x:c r="G163" s="32" t="n">
        <x:v>20.5</x:v>
      </x:c>
      <x:c r="H163" s="12" t="n">
        <x:v>1675</x:v>
      </x:c>
      <x:c r="I163" s="12" t="n">
        <x:v>4</x:v>
      </x:c>
      <x:c r="J163" s="12" t="n">
        <x:v>266</x:v>
      </x:c>
      <x:c r="K163" s="3" t="str">
        <x:v>Вс</x:v>
      </x:c>
      <x:c r="L163" s="8" t="n">
        <x:v>34.6</x:v>
      </x:c>
      <x:c r="M163" s="32" t="n">
        <x:v>22765</x:v>
      </x:c>
    </x:row>
    <x:row r="164" ht="23" customHeight="1">
      <x:c r="A164" s="11" t="n">
        <x:v>10159</x:v>
      </x:c>
      <x:c r="B164" s="31" t="n">
        <x:v>54.6</x:v>
      </x:c>
      <x:c r="C164" s="31" t="n">
        <x:v>30.9</x:v>
      </x:c>
      <x:c r="D164" s="11" t="n">
        <x:v>2</x:v>
      </x:c>
      <x:c r="E164" s="11" t="n">
        <x:v>24</x:v>
      </x:c>
      <x:c r="F164" s="11" t="n">
        <x:v>1991</x:v>
      </x:c>
      <x:c r="G164" s="31" t="n">
        <x:v>33.3</x:v>
      </x:c>
      <x:c r="H164" s="11" t="n">
        <x:v>2723</x:v>
      </x:c>
      <x:c r="I164" s="11" t="n">
        <x:v>4</x:v>
      </x:c>
      <x:c r="J164" s="11" t="n">
        <x:v>306</x:v>
      </x:c>
      <x:c r="K164" s="9" t="str">
        <x:v>Сб</x:v>
      </x:c>
      <x:c r="L164" s="10" t="n">
        <x:v>41.97</x:v>
      </x:c>
      <x:c r="M164" s="31" t="n">
        <x:v>9410.5</x:v>
      </x:c>
    </x:row>
    <x:row r="165" ht="23" customHeight="1">
      <x:c r="A165" s="12" t="n">
        <x:v>10160</x:v>
      </x:c>
      <x:c r="B165" s="32" t="n">
        <x:v>109.6</x:v>
      </x:c>
      <x:c r="C165" s="32" t="n">
        <x:v>62.8</x:v>
      </x:c>
      <x:c r="D165" s="12" t="n">
        <x:v>5</x:v>
      </x:c>
      <x:c r="E165" s="12" t="n">
        <x:v>2</x:v>
      </x:c>
      <x:c r="F165" s="12" t="n">
        <x:v>1973</x:v>
      </x:c>
      <x:c r="G165" s="32" t="n">
        <x:v>18.4</x:v>
      </x:c>
      <x:c r="H165" s="12" t="n">
        <x:v>1458</x:v>
      </x:c>
      <x:c r="I165" s="12" t="n">
        <x:v>6</x:v>
      </x:c>
      <x:c r="J165" s="12" t="n">
        <x:v>381</x:v>
      </x:c>
      <x:c r="K165" s="3" t="str">
        <x:v>Чт</x:v>
      </x:c>
      <x:c r="L165" s="8" t="n">
        <x:v>40.61</x:v>
      </x:c>
      <x:c r="M165" s="32" t="n">
        <x:v>19479</x:v>
      </x:c>
    </x:row>
    <x:row r="166" ht="23" customHeight="1">
      <x:c r="A166" s="11" t="n">
        <x:v>10161</x:v>
      </x:c>
      <x:c r="B166" s="31" t="n">
        <x:v>69.2</x:v>
      </x:c>
      <x:c r="C166" s="31" t="n">
        <x:v>43.5</x:v>
      </x:c>
      <x:c r="D166" s="11" t="n">
        <x:v>3</x:v>
      </x:c>
      <x:c r="E166" s="11" t="n">
        <x:v>18</x:v>
      </x:c>
      <x:c r="F166" s="11" t="n">
        <x:v>1974</x:v>
      </x:c>
      <x:c r="G166" s="31" t="n">
        <x:v>14.6</x:v>
      </x:c>
      <x:c r="H166" s="11" t="n">
        <x:v>1151</x:v>
      </x:c>
      <x:c r="I166" s="11" t="n">
        <x:v>4</x:v>
      </x:c>
      <x:c r="J166" s="11" t="n">
        <x:v>164</x:v>
      </x:c>
      <x:c r="K166" s="9" t="str">
        <x:v>Сб</x:v>
      </x:c>
      <x:c r="L166" s="10" t="n">
        <x:v>58.09</x:v>
      </x:c>
      <x:c r="M166" s="31" t="n">
        <x:v>13435.8</x:v>
      </x:c>
    </x:row>
    <x:row r="167" ht="23" customHeight="1">
      <x:c r="A167" s="12" t="n">
        <x:v>10162</x:v>
      </x:c>
      <x:c r="B167" s="32" t="n">
        <x:v>98.8</x:v>
      </x:c>
      <x:c r="C167" s="32" t="n">
        <x:v>68.4</x:v>
      </x:c>
      <x:c r="D167" s="12" t="n">
        <x:v>3</x:v>
      </x:c>
      <x:c r="E167" s="12" t="n">
        <x:v>19</x:v>
      </x:c>
      <x:c r="F167" s="12" t="n">
        <x:v>2006</x:v>
      </x:c>
      <x:c r="G167" s="32" t="n">
        <x:v>7.4</x:v>
      </x:c>
      <x:c r="H167" s="12" t="n">
        <x:v>617</x:v>
      </x:c>
      <x:c r="I167" s="12" t="n">
        <x:v>5</x:v>
      </x:c>
      <x:c r="J167" s="12" t="n">
        <x:v>987</x:v>
      </x:c>
      <x:c r="K167" s="3" t="str">
        <x:v>Ср</x:v>
      </x:c>
      <x:c r="L167" s="8" t="n">
        <x:v>58.45</x:v>
      </x:c>
      <x:c r="M167" s="32" t="n">
        <x:v>20070.6</x:v>
      </x:c>
    </x:row>
    <x:row r="168" ht="23" customHeight="1">
      <x:c r="A168" s="11" t="n">
        <x:v>10163</x:v>
      </x:c>
      <x:c r="B168" s="31" t="n">
        <x:v>99</x:v>
      </x:c>
      <x:c r="C168" s="31" t="n">
        <x:v>58.8</x:v>
      </x:c>
      <x:c r="D168" s="11" t="n">
        <x:v>4</x:v>
      </x:c>
      <x:c r="E168" s="11" t="n">
        <x:v>19</x:v>
      </x:c>
      <x:c r="F168" s="11" t="n">
        <x:v>2010</x:v>
      </x:c>
      <x:c r="G168" s="31" t="n">
        <x:v>27.9</x:v>
      </x:c>
      <x:c r="H168" s="11" t="n">
        <x:v>2164</x:v>
      </x:c>
      <x:c r="I168" s="11" t="n">
        <x:v>6</x:v>
      </x:c>
      <x:c r="J168" s="11" t="n">
        <x:v>615</x:v>
      </x:c>
      <x:c r="K168" s="9" t="str">
        <x:v>Вс</x:v>
      </x:c>
      <x:c r="L168" s="10" t="n">
        <x:v>60.42</x:v>
      </x:c>
      <x:c r="M168" s="31" t="n">
        <x:v>18286.1</x:v>
      </x:c>
    </x:row>
    <x:row r="169" ht="23" customHeight="1">
      <x:c r="A169" s="12" t="n">
        <x:v>10164</x:v>
      </x:c>
      <x:c r="B169" s="32" t="n">
        <x:v>88</x:v>
      </x:c>
      <x:c r="C169" s="32" t="n">
        <x:v>57.8</x:v>
      </x:c>
      <x:c r="D169" s="12" t="n">
        <x:v>4</x:v>
      </x:c>
      <x:c r="E169" s="12" t="n">
        <x:v>17</x:v>
      </x:c>
      <x:c r="F169" s="12" t="n">
        <x:v>2018</x:v>
      </x:c>
      <x:c r="G169" s="32" t="n">
        <x:v>26.2</x:v>
      </x:c>
      <x:c r="H169" s="12" t="n">
        <x:v>2107</x:v>
      </x:c>
      <x:c r="I169" s="12" t="n">
        <x:v>5</x:v>
      </x:c>
      <x:c r="J169" s="12" t="n">
        <x:v>256</x:v>
      </x:c>
      <x:c r="K169" s="3" t="str">
        <x:v>Вс</x:v>
      </x:c>
      <x:c r="L169" s="8" t="n">
        <x:v>54.52</x:v>
      </x:c>
      <x:c r="M169" s="32" t="n">
        <x:v>17123.4</x:v>
      </x:c>
    </x:row>
    <x:row r="170" ht="23" customHeight="1">
      <x:c r="A170" s="11" t="n">
        <x:v>10165</x:v>
      </x:c>
      <x:c r="B170" s="31" t="n">
        <x:v>38.1</x:v>
      </x:c>
      <x:c r="C170" s="31" t="n">
        <x:v>23.2</x:v>
      </x:c>
      <x:c r="D170" s="11" t="n">
        <x:v>2</x:v>
      </x:c>
      <x:c r="E170" s="11" t="n">
        <x:v>14</x:v>
      </x:c>
      <x:c r="F170" s="11" t="n">
        <x:v>1982</x:v>
      </x:c>
      <x:c r="G170" s="31" t="n">
        <x:v>14.7</x:v>
      </x:c>
      <x:c r="H170" s="11" t="n">
        <x:v>1204</x:v>
      </x:c>
      <x:c r="I170" s="11" t="n">
        <x:v>7</x:v>
      </x:c>
      <x:c r="J170" s="11" t="n">
        <x:v>860</x:v>
      </x:c>
      <x:c r="K170" s="9" t="str">
        <x:v>Пн</x:v>
      </x:c>
      <x:c r="L170" s="10" t="n">
        <x:v>19.11</x:v>
      </x:c>
      <x:c r="M170" s="31" t="n">
        <x:v>7883.5</x:v>
      </x:c>
    </x:row>
    <x:row r="171" ht="23" customHeight="1">
      <x:c r="A171" s="12" t="n">
        <x:v>10166</x:v>
      </x:c>
      <x:c r="B171" s="32" t="n">
        <x:v>121.6</x:v>
      </x:c>
      <x:c r="C171" s="32" t="n">
        <x:v>83.8</x:v>
      </x:c>
      <x:c r="D171" s="12" t="n">
        <x:v>5</x:v>
      </x:c>
      <x:c r="E171" s="12" t="n">
        <x:v>19</x:v>
      </x:c>
      <x:c r="F171" s="12" t="n">
        <x:v>2003</x:v>
      </x:c>
      <x:c r="G171" s="32" t="n">
        <x:v>2.8</x:v>
      </x:c>
      <x:c r="H171" s="12" t="n">
        <x:v>258</x:v>
      </x:c>
      <x:c r="I171" s="12" t="n">
        <x:v>9</x:v>
      </x:c>
      <x:c r="J171" s="12" t="n">
        <x:v>868</x:v>
      </x:c>
      <x:c r="K171" s="3" t="str">
        <x:v>Пт</x:v>
      </x:c>
      <x:c r="L171" s="8" t="n">
        <x:v>24.11</x:v>
      </x:c>
      <x:c r="M171" s="32" t="n">
        <x:v>23749.5</x:v>
      </x:c>
    </x:row>
    <x:row r="172" ht="23" customHeight="1">
      <x:c r="A172" s="11" t="n">
        <x:v>10167</x:v>
      </x:c>
      <x:c r="B172" s="31" t="n">
        <x:v>63.9</x:v>
      </x:c>
      <x:c r="C172" s="31" t="n">
        <x:v>41.8</x:v>
      </x:c>
      <x:c r="D172" s="11" t="n">
        <x:v>3</x:v>
      </x:c>
      <x:c r="E172" s="11" t="n">
        <x:v>22</x:v>
      </x:c>
      <x:c r="F172" s="11" t="n">
        <x:v>2014</x:v>
      </x:c>
      <x:c r="G172" s="31" t="n">
        <x:v>29.7</x:v>
      </x:c>
      <x:c r="H172" s="11" t="n">
        <x:v>2279</x:v>
      </x:c>
      <x:c r="I172" s="11" t="n">
        <x:v>7</x:v>
      </x:c>
      <x:c r="J172" s="11" t="n">
        <x:v>846</x:v>
      </x:c>
      <x:c r="K172" s="9" t="str">
        <x:v>Пт</x:v>
      </x:c>
      <x:c r="L172" s="10" t="n">
        <x:v>47.9</x:v>
      </x:c>
      <x:c r="M172" s="31" t="n">
        <x:v>12414.1</x:v>
      </x:c>
    </x:row>
    <x:row r="173" ht="23" customHeight="1">
      <x:c r="A173" s="12" t="n">
        <x:v>10168</x:v>
      </x:c>
      <x:c r="B173" s="32" t="n">
        <x:v>48.9</x:v>
      </x:c>
      <x:c r="C173" s="32" t="n">
        <x:v>29.4</x:v>
      </x:c>
      <x:c r="D173" s="12" t="n">
        <x:v>2</x:v>
      </x:c>
      <x:c r="E173" s="12" t="n">
        <x:v>24</x:v>
      </x:c>
      <x:c r="F173" s="12" t="n">
        <x:v>1991</x:v>
      </x:c>
      <x:c r="G173" s="32" t="n">
        <x:v>2.4</x:v>
      </x:c>
      <x:c r="H173" s="12" t="n">
        <x:v>154</x:v>
      </x:c>
      <x:c r="I173" s="12" t="n">
        <x:v>7</x:v>
      </x:c>
      <x:c r="J173" s="12" t="n">
        <x:v>405</x:v>
      </x:c>
      <x:c r="K173" s="3" t="str">
        <x:v>Сб</x:v>
      </x:c>
      <x:c r="L173" s="8" t="n">
        <x:v>51.47</x:v>
      </x:c>
      <x:c r="M173" s="32" t="n">
        <x:v>11254.2</x:v>
      </x:c>
    </x:row>
    <x:row r="174" ht="23" customHeight="1">
      <x:c r="A174" s="11" t="n">
        <x:v>10169</x:v>
      </x:c>
      <x:c r="B174" s="31" t="n">
        <x:v>32.6</x:v>
      </x:c>
      <x:c r="C174" s="31" t="n">
        <x:v>21.5</x:v>
      </x:c>
      <x:c r="D174" s="11" t="n">
        <x:v>1</x:v>
      </x:c>
      <x:c r="E174" s="11" t="n">
        <x:v>13</x:v>
      </x:c>
      <x:c r="F174" s="11" t="n">
        <x:v>2022</x:v>
      </x:c>
      <x:c r="G174" s="31" t="n">
        <x:v>25.2</x:v>
      </x:c>
      <x:c r="H174" s="11" t="n">
        <x:v>1972</x:v>
      </x:c>
      <x:c r="I174" s="11" t="n">
        <x:v>4</x:v>
      </x:c>
      <x:c r="J174" s="11" t="n">
        <x:v>977</x:v>
      </x:c>
      <x:c r="K174" s="9" t="str">
        <x:v>Вс</x:v>
      </x:c>
      <x:c r="L174" s="10" t="n">
        <x:v>68.8</x:v>
      </x:c>
      <x:c r="M174" s="31" t="n">
        <x:v>7055.7</x:v>
      </x:c>
    </x:row>
    <x:row r="175" ht="23" customHeight="1">
      <x:c r="A175" s="12" t="n">
        <x:v>10170</x:v>
      </x:c>
      <x:c r="B175" s="32" t="n">
        <x:v>94.2</x:v>
      </x:c>
      <x:c r="C175" s="32" t="n">
        <x:v>64.8</x:v>
      </x:c>
      <x:c r="D175" s="12" t="n">
        <x:v>3</x:v>
      </x:c>
      <x:c r="E175" s="12" t="n">
        <x:v>12</x:v>
      </x:c>
      <x:c r="F175" s="12" t="n">
        <x:v>1992</x:v>
      </x:c>
      <x:c r="G175" s="32" t="n">
        <x:v>34</x:v>
      </x:c>
      <x:c r="H175" s="12" t="n">
        <x:v>2725</x:v>
      </x:c>
      <x:c r="I175" s="12" t="n">
        <x:v>1</x:v>
      </x:c>
      <x:c r="J175" s="12" t="n">
        <x:v>494</x:v>
      </x:c>
      <x:c r="K175" s="3" t="str">
        <x:v>Чт</x:v>
      </x:c>
      <x:c r="L175" s="8" t="n">
        <x:v>51.17</x:v>
      </x:c>
      <x:c r="M175" s="32" t="n">
        <x:v>15953.6</x:v>
      </x:c>
    </x:row>
    <x:row r="176" ht="23" customHeight="1">
      <x:c r="A176" s="11" t="n">
        <x:v>10171</x:v>
      </x:c>
      <x:c r="B176" s="31" t="n">
        <x:v>103.9</x:v>
      </x:c>
      <x:c r="C176" s="31" t="n">
        <x:v>64.5</x:v>
      </x:c>
      <x:c r="D176" s="11" t="n">
        <x:v>4</x:v>
      </x:c>
      <x:c r="E176" s="11" t="n">
        <x:v>6</x:v>
      </x:c>
      <x:c r="F176" s="11" t="n">
        <x:v>2020</x:v>
      </x:c>
      <x:c r="G176" s="31" t="n">
        <x:v>16.4</x:v>
      </x:c>
      <x:c r="H176" s="11" t="n">
        <x:v>1336</x:v>
      </x:c>
      <x:c r="I176" s="11" t="n">
        <x:v>8</x:v>
      </x:c>
      <x:c r="J176" s="11" t="n">
        <x:v>173</x:v>
      </x:c>
      <x:c r="K176" s="9" t="str">
        <x:v>Сб</x:v>
      </x:c>
      <x:c r="L176" s="10" t="n">
        <x:v>35.36</x:v>
      </x:c>
      <x:c r="M176" s="31" t="n">
        <x:v>19970.1</x:v>
      </x:c>
    </x:row>
    <x:row r="177" ht="23" customHeight="1">
      <x:c r="A177" s="12" t="n">
        <x:v>10172</x:v>
      </x:c>
      <x:c r="B177" s="32" t="n">
        <x:v>29.9</x:v>
      </x:c>
      <x:c r="C177" s="32" t="n">
        <x:v>17.3</x:v>
      </x:c>
      <x:c r="D177" s="12" t="n">
        <x:v>1</x:v>
      </x:c>
      <x:c r="E177" s="12" t="n">
        <x:v>21</x:v>
      </x:c>
      <x:c r="F177" s="12" t="n">
        <x:v>1972</x:v>
      </x:c>
      <x:c r="G177" s="32" t="n">
        <x:v>9.8</x:v>
      </x:c>
      <x:c r="H177" s="12" t="n">
        <x:v>859</x:v>
      </x:c>
      <x:c r="I177" s="12" t="n">
        <x:v>4</x:v>
      </x:c>
      <x:c r="J177" s="12" t="n">
        <x:v>286</x:v>
      </x:c>
      <x:c r="K177" s="3" t="str">
        <x:v>Сб</x:v>
      </x:c>
      <x:c r="L177" s="8" t="n">
        <x:v>59.93</x:v>
      </x:c>
      <x:c r="M177" s="32" t="n">
        <x:v>5631.6</x:v>
      </x:c>
    </x:row>
    <x:row r="178" ht="23" customHeight="1">
      <x:c r="A178" s="11" t="n">
        <x:v>10173</x:v>
      </x:c>
      <x:c r="B178" s="31" t="n">
        <x:v>85.4</x:v>
      </x:c>
      <x:c r="C178" s="31" t="n">
        <x:v>47.7</x:v>
      </x:c>
      <x:c r="D178" s="11" t="n">
        <x:v>4</x:v>
      </x:c>
      <x:c r="E178" s="11" t="n">
        <x:v>4</x:v>
      </x:c>
      <x:c r="F178" s="11" t="n">
        <x:v>2011</x:v>
      </x:c>
      <x:c r="G178" s="31" t="n">
        <x:v>25.3</x:v>
      </x:c>
      <x:c r="H178" s="11" t="n">
        <x:v>1999</x:v>
      </x:c>
      <x:c r="I178" s="11" t="n">
        <x:v>1</x:v>
      </x:c>
      <x:c r="J178" s="11" t="n">
        <x:v>673</x:v>
      </x:c>
      <x:c r="K178" s="9" t="str">
        <x:v>Вт</x:v>
      </x:c>
      <x:c r="L178" s="10" t="n">
        <x:v>49.74</x:v>
      </x:c>
      <x:c r="M178" s="31" t="n">
        <x:v>15996.6</x:v>
      </x:c>
    </x:row>
    <x:row r="179" ht="23" customHeight="1">
      <x:c r="A179" s="12" t="n">
        <x:v>10174</x:v>
      </x:c>
      <x:c r="B179" s="32" t="n">
        <x:v>53.4</x:v>
      </x:c>
      <x:c r="C179" s="32" t="n">
        <x:v>36.8</x:v>
      </x:c>
      <x:c r="D179" s="12" t="n">
        <x:v>1</x:v>
      </x:c>
      <x:c r="E179" s="12" t="n">
        <x:v>19</x:v>
      </x:c>
      <x:c r="F179" s="12" t="n">
        <x:v>2003</x:v>
      </x:c>
      <x:c r="G179" s="32" t="n">
        <x:v>29</x:v>
      </x:c>
      <x:c r="H179" s="12" t="n">
        <x:v>2295</x:v>
      </x:c>
      <x:c r="I179" s="12" t="n">
        <x:v>5</x:v>
      </x:c>
      <x:c r="J179" s="12" t="n">
        <x:v>436</x:v>
      </x:c>
      <x:c r="K179" s="3" t="str">
        <x:v>Вс</x:v>
      </x:c>
      <x:c r="L179" s="8" t="n">
        <x:v>43.97</x:v>
      </x:c>
      <x:c r="M179" s="32" t="n">
        <x:v>10360.9</x:v>
      </x:c>
    </x:row>
    <x:row r="180" ht="23" customHeight="1">
      <x:c r="A180" s="11" t="n">
        <x:v>10175</x:v>
      </x:c>
      <x:c r="B180" s="31" t="n">
        <x:v>100.3</x:v>
      </x:c>
      <x:c r="C180" s="31" t="n">
        <x:v>67.9</x:v>
      </x:c>
      <x:c r="D180" s="11" t="n">
        <x:v>3</x:v>
      </x:c>
      <x:c r="E180" s="11" t="n">
        <x:v>16</x:v>
      </x:c>
      <x:c r="F180" s="11" t="n">
        <x:v>2001</x:v>
      </x:c>
      <x:c r="G180" s="31" t="n">
        <x:v>20</x:v>
      </x:c>
      <x:c r="H180" s="11" t="n">
        <x:v>1657</x:v>
      </x:c>
      <x:c r="I180" s="11" t="n">
        <x:v>8</x:v>
      </x:c>
      <x:c r="J180" s="11" t="n">
        <x:v>775</x:v>
      </x:c>
      <x:c r="K180" s="9" t="str">
        <x:v>Пт</x:v>
      </x:c>
      <x:c r="L180" s="10" t="n">
        <x:v>25.78</x:v>
      </x:c>
      <x:c r="M180" s="31" t="n">
        <x:v>18711.2</x:v>
      </x:c>
    </x:row>
    <x:row r="181" ht="23" customHeight="1">
      <x:c r="A181" s="12" t="n">
        <x:v>10176</x:v>
      </x:c>
      <x:c r="B181" s="32" t="n">
        <x:v>47.5</x:v>
      </x:c>
      <x:c r="C181" s="32" t="n">
        <x:v>25.6</x:v>
      </x:c>
      <x:c r="D181" s="12" t="n">
        <x:v>2</x:v>
      </x:c>
      <x:c r="E181" s="12" t="n">
        <x:v>13</x:v>
      </x:c>
      <x:c r="F181" s="12" t="n">
        <x:v>2014</x:v>
      </x:c>
      <x:c r="G181" s="32" t="n">
        <x:v>33.9</x:v>
      </x:c>
      <x:c r="H181" s="12" t="n">
        <x:v>2727</x:v>
      </x:c>
      <x:c r="I181" s="12" t="n">
        <x:v>4</x:v>
      </x:c>
      <x:c r="J181" s="12" t="n">
        <x:v>667</x:v>
      </x:c>
      <x:c r="K181" s="3" t="str">
        <x:v>Вс</x:v>
      </x:c>
      <x:c r="L181" s="8" t="n">
        <x:v>51.28</x:v>
      </x:c>
      <x:c r="M181" s="32" t="n">
        <x:v>8399.7</x:v>
      </x:c>
    </x:row>
    <x:row r="182" ht="23" customHeight="1">
      <x:c r="A182" s="11" t="n">
        <x:v>10177</x:v>
      </x:c>
      <x:c r="B182" s="31" t="n">
        <x:v>105.4</x:v>
      </x:c>
      <x:c r="C182" s="31" t="n">
        <x:v>67.3</x:v>
      </x:c>
      <x:c r="D182" s="11" t="n">
        <x:v>4</x:v>
      </x:c>
      <x:c r="E182" s="11" t="n">
        <x:v>4</x:v>
      </x:c>
      <x:c r="F182" s="11" t="n">
        <x:v>2020</x:v>
      </x:c>
      <x:c r="G182" s="31" t="n">
        <x:v>3.7</x:v>
      </x:c>
      <x:c r="H182" s="11" t="n">
        <x:v>359</x:v>
      </x:c>
      <x:c r="I182" s="11" t="n">
        <x:v>8</x:v>
      </x:c>
      <x:c r="J182" s="11" t="n">
        <x:v>722</x:v>
      </x:c>
      <x:c r="K182" s="9" t="str">
        <x:v>Ср</x:v>
      </x:c>
      <x:c r="L182" s="10" t="n">
        <x:v>53.43</x:v>
      </x:c>
      <x:c r="M182" s="31" t="n">
        <x:v>21561.1</x:v>
      </x:c>
    </x:row>
    <x:row r="183" ht="23" customHeight="1">
      <x:c r="A183" s="12" t="n">
        <x:v>10178</x:v>
      </x:c>
      <x:c r="B183" s="32" t="n">
        <x:v>71.3</x:v>
      </x:c>
      <x:c r="C183" s="32" t="n">
        <x:v>44.7</x:v>
      </x:c>
      <x:c r="D183" s="12" t="n">
        <x:v>3</x:v>
      </x:c>
      <x:c r="E183" s="12" t="n">
        <x:v>23</x:v>
      </x:c>
      <x:c r="F183" s="12" t="n">
        <x:v>2018</x:v>
      </x:c>
      <x:c r="G183" s="32" t="n">
        <x:v>18.7</x:v>
      </x:c>
      <x:c r="H183" s="12" t="n">
        <x:v>1510</x:v>
      </x:c>
      <x:c r="I183" s="12" t="n">
        <x:v>8</x:v>
      </x:c>
      <x:c r="J183" s="12" t="n">
        <x:v>829</x:v>
      </x:c>
      <x:c r="K183" s="3" t="str">
        <x:v>Сб</x:v>
      </x:c>
      <x:c r="L183" s="8" t="n">
        <x:v>35.06</x:v>
      </x:c>
      <x:c r="M183" s="32" t="n">
        <x:v>15068</x:v>
      </x:c>
    </x:row>
    <x:row r="184" ht="23" customHeight="1">
      <x:c r="A184" s="11" t="n">
        <x:v>10179</x:v>
      </x:c>
      <x:c r="B184" s="31" t="n">
        <x:v>132.9</x:v>
      </x:c>
      <x:c r="C184" s="31" t="n">
        <x:v>75.5</x:v>
      </x:c>
      <x:c r="D184" s="11" t="n">
        <x:v>5</x:v>
      </x:c>
      <x:c r="E184" s="11" t="n">
        <x:v>17</x:v>
      </x:c>
      <x:c r="F184" s="11" t="n">
        <x:v>1990</x:v>
      </x:c>
      <x:c r="G184" s="31" t="n">
        <x:v>25.7</x:v>
      </x:c>
      <x:c r="H184" s="11" t="n">
        <x:v>1998</x:v>
      </x:c>
      <x:c r="I184" s="11" t="n">
        <x:v>3</x:v>
      </x:c>
      <x:c r="J184" s="11" t="n">
        <x:v>339</x:v>
      </x:c>
      <x:c r="K184" s="9" t="str">
        <x:v>Вт</x:v>
      </x:c>
      <x:c r="L184" s="10" t="n">
        <x:v>61.17</x:v>
      </x:c>
      <x:c r="M184" s="31" t="n">
        <x:v>24306.3</x:v>
      </x:c>
    </x:row>
    <x:row r="185" ht="23" customHeight="1">
      <x:c r="A185" s="12" t="n">
        <x:v>10180</x:v>
      </x:c>
      <x:c r="B185" s="32" t="n">
        <x:v>43.4</x:v>
      </x:c>
      <x:c r="C185" s="32" t="n">
        <x:v>27.1</x:v>
      </x:c>
      <x:c r="D185" s="12" t="n">
        <x:v>2</x:v>
      </x:c>
      <x:c r="E185" s="12" t="n">
        <x:v>23</x:v>
      </x:c>
      <x:c r="F185" s="12" t="n">
        <x:v>2015</x:v>
      </x:c>
      <x:c r="G185" s="32" t="n">
        <x:v>30.5</x:v>
      </x:c>
      <x:c r="H185" s="12" t="n">
        <x:v>2373</x:v>
      </x:c>
      <x:c r="I185" s="12" t="n">
        <x:v>9</x:v>
      </x:c>
      <x:c r="J185" s="12" t="n">
        <x:v>632</x:v>
      </x:c>
      <x:c r="K185" s="3" t="str">
        <x:v>Вт</x:v>
      </x:c>
      <x:c r="L185" s="8" t="n">
        <x:v>59.82</x:v>
      </x:c>
      <x:c r="M185" s="32" t="n">
        <x:v>9029.2</x:v>
      </x:c>
    </x:row>
    <x:row r="186" ht="23" customHeight="1">
      <x:c r="A186" s="11" t="n">
        <x:v>10181</x:v>
      </x:c>
      <x:c r="B186" s="31" t="n">
        <x:v>66.2</x:v>
      </x:c>
      <x:c r="C186" s="31" t="n">
        <x:v>38.8</x:v>
      </x:c>
      <x:c r="D186" s="11" t="n">
        <x:v>3</x:v>
      </x:c>
      <x:c r="E186" s="11" t="n">
        <x:v>1</x:v>
      </x:c>
      <x:c r="F186" s="11" t="n">
        <x:v>2013</x:v>
      </x:c>
      <x:c r="G186" s="31" t="n">
        <x:v>7.9</x:v>
      </x:c>
      <x:c r="H186" s="11" t="n">
        <x:v>554</x:v>
      </x:c>
      <x:c r="I186" s="11" t="n">
        <x:v>3</x:v>
      </x:c>
      <x:c r="J186" s="11" t="n">
        <x:v>240</x:v>
      </x:c>
      <x:c r="K186" s="9" t="str">
        <x:v>Пт</x:v>
      </x:c>
      <x:c r="L186" s="10" t="n">
        <x:v>50.73</x:v>
      </x:c>
      <x:c r="M186" s="31" t="n">
        <x:v>14874.9</x:v>
      </x:c>
    </x:row>
    <x:row r="187" ht="23" customHeight="1">
      <x:c r="A187" s="12" t="n">
        <x:v>10182</x:v>
      </x:c>
      <x:c r="B187" s="32" t="n">
        <x:v>40.7</x:v>
      </x:c>
      <x:c r="C187" s="32" t="n">
        <x:v>26.1</x:v>
      </x:c>
      <x:c r="D187" s="12" t="n">
        <x:v>1</x:v>
      </x:c>
      <x:c r="E187" s="12" t="n">
        <x:v>18</x:v>
      </x:c>
      <x:c r="F187" s="12" t="n">
        <x:v>1990</x:v>
      </x:c>
      <x:c r="G187" s="32" t="n">
        <x:v>28.4</x:v>
      </x:c>
      <x:c r="H187" s="12" t="n">
        <x:v>2305</x:v>
      </x:c>
      <x:c r="I187" s="12" t="n">
        <x:v>1</x:v>
      </x:c>
      <x:c r="J187" s="12" t="n">
        <x:v>364</x:v>
      </x:c>
      <x:c r="K187" s="3" t="str">
        <x:v>Пт</x:v>
      </x:c>
      <x:c r="L187" s="8" t="n">
        <x:v>50.18</x:v>
      </x:c>
      <x:c r="M187" s="32" t="n">
        <x:v>6713.1</x:v>
      </x:c>
    </x:row>
    <x:row r="188" ht="23" customHeight="1">
      <x:c r="A188" s="11" t="n">
        <x:v>10183</x:v>
      </x:c>
      <x:c r="B188" s="31" t="n">
        <x:v>131.6</x:v>
      </x:c>
      <x:c r="C188" s="31" t="n">
        <x:v>83.6</x:v>
      </x:c>
      <x:c r="D188" s="11" t="n">
        <x:v>5</x:v>
      </x:c>
      <x:c r="E188" s="11" t="n">
        <x:v>20</x:v>
      </x:c>
      <x:c r="F188" s="11" t="n">
        <x:v>2013</x:v>
      </x:c>
      <x:c r="G188" s="31" t="n">
        <x:v>20.2</x:v>
      </x:c>
      <x:c r="H188" s="11" t="n">
        <x:v>1675</x:v>
      </x:c>
      <x:c r="I188" s="11" t="n">
        <x:v>2</x:v>
      </x:c>
      <x:c r="J188" s="11" t="n">
        <x:v>238</x:v>
      </x:c>
      <x:c r="K188" s="9" t="str">
        <x:v>Пт</x:v>
      </x:c>
      <x:c r="L188" s="10" t="n">
        <x:v>64.19</x:v>
      </x:c>
      <x:c r="M188" s="31" t="n">
        <x:v>24912.7</x:v>
      </x:c>
    </x:row>
    <x:row r="189" ht="23" customHeight="1">
      <x:c r="A189" s="12" t="n">
        <x:v>10184</x:v>
      </x:c>
      <x:c r="B189" s="32" t="n">
        <x:v>126.3</x:v>
      </x:c>
      <x:c r="C189" s="32" t="n">
        <x:v>82.4</x:v>
      </x:c>
      <x:c r="D189" s="12" t="n">
        <x:v>5</x:v>
      </x:c>
      <x:c r="E189" s="12" t="n">
        <x:v>17</x:v>
      </x:c>
      <x:c r="F189" s="12" t="n">
        <x:v>1980</x:v>
      </x:c>
      <x:c r="G189" s="32" t="n">
        <x:v>15.1</x:v>
      </x:c>
      <x:c r="H189" s="12" t="n">
        <x:v>1300</x:v>
      </x:c>
      <x:c r="I189" s="12" t="n">
        <x:v>6</x:v>
      </x:c>
      <x:c r="J189" s="12" t="n">
        <x:v>558</x:v>
      </x:c>
      <x:c r="K189" s="3" t="str">
        <x:v>Ср</x:v>
      </x:c>
      <x:c r="L189" s="8" t="n">
        <x:v>55.51</x:v>
      </x:c>
      <x:c r="M189" s="32" t="n">
        <x:v>23416.4</x:v>
      </x:c>
    </x:row>
    <x:row r="190" ht="23" customHeight="1">
      <x:c r="A190" s="11" t="n">
        <x:v>10185</x:v>
      </x:c>
      <x:c r="B190" s="31" t="n">
        <x:v>56.9</x:v>
      </x:c>
      <x:c r="C190" s="31" t="n">
        <x:v>32.1</x:v>
      </x:c>
      <x:c r="D190" s="11" t="n">
        <x:v>2</x:v>
      </x:c>
      <x:c r="E190" s="11" t="n">
        <x:v>15</x:v>
      </x:c>
      <x:c r="F190" s="11" t="n">
        <x:v>2008</x:v>
      </x:c>
      <x:c r="G190" s="31" t="n">
        <x:v>6.3</x:v>
      </x:c>
      <x:c r="H190" s="11" t="n">
        <x:v>546</x:v>
      </x:c>
      <x:c r="I190" s="11" t="n">
        <x:v>2</x:v>
      </x:c>
      <x:c r="J190" s="11" t="n">
        <x:v>169</x:v>
      </x:c>
      <x:c r="K190" s="9" t="str">
        <x:v>Вт</x:v>
      </x:c>
      <x:c r="L190" s="10" t="n">
        <x:v>39.47</x:v>
      </x:c>
      <x:c r="M190" s="31" t="n">
        <x:v>12239.4</x:v>
      </x:c>
    </x:row>
    <x:row r="191" ht="23" customHeight="1">
      <x:c r="A191" s="12" t="n">
        <x:v>10186</x:v>
      </x:c>
      <x:c r="B191" s="32" t="n">
        <x:v>101.9</x:v>
      </x:c>
      <x:c r="C191" s="32" t="n">
        <x:v>66.6</x:v>
      </x:c>
      <x:c r="D191" s="12" t="n">
        <x:v>4</x:v>
      </x:c>
      <x:c r="E191" s="12" t="n">
        <x:v>11</x:v>
      </x:c>
      <x:c r="F191" s="12" t="n">
        <x:v>1973</x:v>
      </x:c>
      <x:c r="G191" s="32" t="n">
        <x:v>30.6</x:v>
      </x:c>
      <x:c r="H191" s="12" t="n">
        <x:v>2506</x:v>
      </x:c>
      <x:c r="I191" s="12" t="n">
        <x:v>6</x:v>
      </x:c>
      <x:c r="J191" s="12" t="n">
        <x:v>484</x:v>
      </x:c>
      <x:c r="K191" s="3" t="str">
        <x:v>Чт</x:v>
      </x:c>
      <x:c r="L191" s="8" t="n">
        <x:v>47.04</x:v>
      </x:c>
      <x:c r="M191" s="32" t="n">
        <x:v>16484.2</x:v>
      </x:c>
    </x:row>
    <x:row r="192" ht="23" customHeight="1">
      <x:c r="A192" s="11" t="n">
        <x:v>10187</x:v>
      </x:c>
      <x:c r="B192" s="31" t="n">
        <x:v>119.5</x:v>
      </x:c>
      <x:c r="C192" s="31" t="n">
        <x:v>77.1</x:v>
      </x:c>
      <x:c r="D192" s="11" t="n">
        <x:v>5</x:v>
      </x:c>
      <x:c r="E192" s="11" t="n">
        <x:v>25</x:v>
      </x:c>
      <x:c r="F192" s="11" t="n">
        <x:v>2020</x:v>
      </x:c>
      <x:c r="G192" s="31" t="n">
        <x:v>7.2</x:v>
      </x:c>
      <x:c r="H192" s="11" t="n">
        <x:v>547</x:v>
      </x:c>
      <x:c r="I192" s="11" t="n">
        <x:v>1</x:v>
      </x:c>
      <x:c r="J192" s="11" t="n">
        <x:v>729</x:v>
      </x:c>
      <x:c r="K192" s="9" t="str">
        <x:v>Ср</x:v>
      </x:c>
      <x:c r="L192" s="10" t="n">
        <x:v>58.35</x:v>
      </x:c>
      <x:c r="M192" s="31" t="n">
        <x:v>24902.4</x:v>
      </x:c>
    </x:row>
    <x:row r="193" ht="23" customHeight="1">
      <x:c r="A193" s="12" t="n">
        <x:v>10188</x:v>
      </x:c>
      <x:c r="B193" s="32" t="n">
        <x:v>90.2</x:v>
      </x:c>
      <x:c r="C193" s="32" t="n">
        <x:v>49.1</x:v>
      </x:c>
      <x:c r="D193" s="12" t="n">
        <x:v>3</x:v>
      </x:c>
      <x:c r="E193" s="12" t="n">
        <x:v>22</x:v>
      </x:c>
      <x:c r="F193" s="12" t="n">
        <x:v>1970</x:v>
      </x:c>
      <x:c r="G193" s="32" t="n">
        <x:v>12.2</x:v>
      </x:c>
      <x:c r="H193" s="12" t="n">
        <x:v>918</x:v>
      </x:c>
      <x:c r="I193" s="12" t="n">
        <x:v>1</x:v>
      </x:c>
      <x:c r="J193" s="12" t="n">
        <x:v>297</x:v>
      </x:c>
      <x:c r="K193" s="3" t="str">
        <x:v>Пн</x:v>
      </x:c>
      <x:c r="L193" s="8" t="n">
        <x:v>19.52</x:v>
      </x:c>
      <x:c r="M193" s="32" t="n">
        <x:v>16682.3</x:v>
      </x:c>
    </x:row>
    <x:row r="194" ht="23" customHeight="1">
      <x:c r="A194" s="11" t="n">
        <x:v>10189</x:v>
      </x:c>
      <x:c r="B194" s="31" t="n">
        <x:v>87.3</x:v>
      </x:c>
      <x:c r="C194" s="31" t="n">
        <x:v>51.4</x:v>
      </x:c>
      <x:c r="D194" s="11" t="n">
        <x:v>4</x:v>
      </x:c>
      <x:c r="E194" s="11" t="n">
        <x:v>13</x:v>
      </x:c>
      <x:c r="F194" s="11" t="n">
        <x:v>1997</x:v>
      </x:c>
      <x:c r="G194" s="31" t="n">
        <x:v>11.6</x:v>
      </x:c>
      <x:c r="H194" s="11" t="n">
        <x:v>971</x:v>
      </x:c>
      <x:c r="I194" s="11" t="n">
        <x:v>5</x:v>
      </x:c>
      <x:c r="J194" s="11" t="n">
        <x:v>304</x:v>
      </x:c>
      <x:c r="K194" s="9" t="str">
        <x:v>Сб</x:v>
      </x:c>
      <x:c r="L194" s="10" t="n">
        <x:v>36.03</x:v>
      </x:c>
      <x:c r="M194" s="31" t="n">
        <x:v>16716.2</x:v>
      </x:c>
    </x:row>
    <x:row r="195" ht="23" customHeight="1">
      <x:c r="A195" s="12" t="n">
        <x:v>10190</x:v>
      </x:c>
      <x:c r="B195" s="32" t="n">
        <x:v>55.1</x:v>
      </x:c>
      <x:c r="C195" s="32" t="n">
        <x:v>35.9</x:v>
      </x:c>
      <x:c r="D195" s="12" t="n">
        <x:v>2</x:v>
      </x:c>
      <x:c r="E195" s="12" t="n">
        <x:v>1</x:v>
      </x:c>
      <x:c r="F195" s="12" t="n">
        <x:v>1993</x:v>
      </x:c>
      <x:c r="G195" s="32" t="n">
        <x:v>30.8</x:v>
      </x:c>
      <x:c r="H195" s="12" t="n">
        <x:v>2485</x:v>
      </x:c>
      <x:c r="I195" s="12" t="n">
        <x:v>9</x:v>
      </x:c>
      <x:c r="J195" s="12" t="n">
        <x:v>825</x:v>
      </x:c>
      <x:c r="K195" s="3" t="str">
        <x:v>Пт</x:v>
      </x:c>
      <x:c r="L195" s="8" t="n">
        <x:v>60.23</x:v>
      </x:c>
      <x:c r="M195" s="32" t="n">
        <x:v>8537.6</x:v>
      </x:c>
    </x:row>
    <x:row r="196" ht="23" customHeight="1">
      <x:c r="A196" s="11" t="n">
        <x:v>10191</x:v>
      </x:c>
      <x:c r="B196" s="31" t="n">
        <x:v>38.4</x:v>
      </x:c>
      <x:c r="C196" s="31" t="n">
        <x:v>22.6</x:v>
      </x:c>
      <x:c r="D196" s="11" t="n">
        <x:v>1</x:v>
      </x:c>
      <x:c r="E196" s="11" t="n">
        <x:v>17</x:v>
      </x:c>
      <x:c r="F196" s="11" t="n">
        <x:v>2004</x:v>
      </x:c>
      <x:c r="G196" s="31" t="n">
        <x:v>24.2</x:v>
      </x:c>
      <x:c r="H196" s="11" t="n">
        <x:v>1941</x:v>
      </x:c>
      <x:c r="I196" s="11" t="n">
        <x:v>8</x:v>
      </x:c>
      <x:c r="J196" s="11" t="n">
        <x:v>667</x:v>
      </x:c>
      <x:c r="K196" s="9" t="str">
        <x:v>Вт</x:v>
      </x:c>
      <x:c r="L196" s="10" t="n">
        <x:v>68.13</x:v>
      </x:c>
      <x:c r="M196" s="31" t="n">
        <x:v>8392.8</x:v>
      </x:c>
    </x:row>
    <x:row r="197" ht="23" customHeight="1">
      <x:c r="A197" s="12" t="n">
        <x:v>10192</x:v>
      </x:c>
      <x:c r="B197" s="32" t="n">
        <x:v>128.5</x:v>
      </x:c>
      <x:c r="C197" s="32" t="n">
        <x:v>89.3</x:v>
      </x:c>
      <x:c r="D197" s="12" t="n">
        <x:v>5</x:v>
      </x:c>
      <x:c r="E197" s="12" t="n">
        <x:v>6</x:v>
      </x:c>
      <x:c r="F197" s="12" t="n">
        <x:v>1982</x:v>
      </x:c>
      <x:c r="G197" s="32" t="n">
        <x:v>28.3</x:v>
      </x:c>
      <x:c r="H197" s="12" t="n">
        <x:v>2283</x:v>
      </x:c>
      <x:c r="I197" s="12" t="n">
        <x:v>3</x:v>
      </x:c>
      <x:c r="J197" s="12" t="n">
        <x:v>898</x:v>
      </x:c>
      <x:c r="K197" s="3" t="str">
        <x:v>Сб</x:v>
      </x:c>
      <x:c r="L197" s="8" t="n">
        <x:v>65.32</x:v>
      </x:c>
      <x:c r="M197" s="32" t="n">
        <x:v>21035</x:v>
      </x:c>
    </x:row>
    <x:row r="198" ht="23" customHeight="1">
      <x:c r="A198" s="11" t="n">
        <x:v>10193</x:v>
      </x:c>
      <x:c r="B198" s="31" t="n">
        <x:v>128.8</x:v>
      </x:c>
      <x:c r="C198" s="31" t="n">
        <x:v>88.2</x:v>
      </x:c>
      <x:c r="D198" s="11" t="n">
        <x:v>5</x:v>
      </x:c>
      <x:c r="E198" s="11" t="n">
        <x:v>4</x:v>
      </x:c>
      <x:c r="F198" s="11" t="n">
        <x:v>2016</x:v>
      </x:c>
      <x:c r="G198" s="31" t="n">
        <x:v>10.3</x:v>
      </x:c>
      <x:c r="H198" s="11" t="n">
        <x:v>840</x:v>
      </x:c>
      <x:c r="I198" s="11" t="n">
        <x:v>3</x:v>
      </x:c>
      <x:c r="J198" s="11" t="n">
        <x:v>904</x:v>
      </x:c>
      <x:c r="K198" s="9" t="str">
        <x:v>Вс</x:v>
      </x:c>
      <x:c r="L198" s="10" t="n">
        <x:v>63.4</x:v>
      </x:c>
      <x:c r="M198" s="31" t="n">
        <x:v>25496.1</x:v>
      </x:c>
    </x:row>
    <x:row r="199" ht="23" customHeight="1">
      <x:c r="A199" s="12" t="n">
        <x:v>10194</x:v>
      </x:c>
      <x:c r="B199" s="32" t="n">
        <x:v>98.9</x:v>
      </x:c>
      <x:c r="C199" s="32" t="n">
        <x:v>70.3</x:v>
      </x:c>
      <x:c r="D199" s="12" t="n">
        <x:v>4</x:v>
      </x:c>
      <x:c r="E199" s="12" t="n">
        <x:v>20</x:v>
      </x:c>
      <x:c r="F199" s="12" t="n">
        <x:v>2003</x:v>
      </x:c>
      <x:c r="G199" s="32" t="n">
        <x:v>22.6</x:v>
      </x:c>
      <x:c r="H199" s="12" t="n">
        <x:v>1872</x:v>
      </x:c>
      <x:c r="I199" s="12" t="n">
        <x:v>1</x:v>
      </x:c>
      <x:c r="J199" s="12" t="n">
        <x:v>786</x:v>
      </x:c>
      <x:c r="K199" s="3" t="str">
        <x:v>Ср</x:v>
      </x:c>
      <x:c r="L199" s="8" t="n">
        <x:v>51.95</x:v>
      </x:c>
      <x:c r="M199" s="32" t="n">
        <x:v>18305.6</x:v>
      </x:c>
    </x:row>
    <x:row r="200" ht="23" customHeight="1">
      <x:c r="A200" s="11" t="n">
        <x:v>10195</x:v>
      </x:c>
      <x:c r="B200" s="31" t="n">
        <x:v>66</x:v>
      </x:c>
      <x:c r="C200" s="31" t="n">
        <x:v>37.2</x:v>
      </x:c>
      <x:c r="D200" s="11" t="n">
        <x:v>3</x:v>
      </x:c>
      <x:c r="E200" s="11" t="n">
        <x:v>16</x:v>
      </x:c>
      <x:c r="F200" s="11" t="n">
        <x:v>1980</x:v>
      </x:c>
      <x:c r="G200" s="31" t="n">
        <x:v>20.9</x:v>
      </x:c>
      <x:c r="H200" s="11" t="n">
        <x:v>1737</x:v>
      </x:c>
      <x:c r="I200" s="11" t="n">
        <x:v>3</x:v>
      </x:c>
      <x:c r="J200" s="11" t="n">
        <x:v>958</x:v>
      </x:c>
      <x:c r="K200" s="9" t="str">
        <x:v>Пн</x:v>
      </x:c>
      <x:c r="L200" s="10" t="n">
        <x:v>34.57</x:v>
      </x:c>
      <x:c r="M200" s="31" t="n">
        <x:v>12305.7</x:v>
      </x:c>
    </x:row>
    <x:row r="201" ht="23" customHeight="1">
      <x:c r="A201" s="12" t="n">
        <x:v>10196</x:v>
      </x:c>
      <x:c r="B201" s="32" t="n">
        <x:v>67.1</x:v>
      </x:c>
      <x:c r="C201" s="32" t="n">
        <x:v>47.9</x:v>
      </x:c>
      <x:c r="D201" s="12" t="n">
        <x:v>2</x:v>
      </x:c>
      <x:c r="E201" s="12" t="n">
        <x:v>15</x:v>
      </x:c>
      <x:c r="F201" s="12" t="n">
        <x:v>2005</x:v>
      </x:c>
      <x:c r="G201" s="32" t="n">
        <x:v>29.5</x:v>
      </x:c>
      <x:c r="H201" s="12" t="n">
        <x:v>2387</x:v>
      </x:c>
      <x:c r="I201" s="12" t="n">
        <x:v>1</x:v>
      </x:c>
      <x:c r="J201" s="12" t="n">
        <x:v>981</x:v>
      </x:c>
      <x:c r="K201" s="3" t="str">
        <x:v>Вс</x:v>
      </x:c>
      <x:c r="L201" s="8" t="n">
        <x:v>47.05</x:v>
      </x:c>
      <x:c r="M201" s="32" t="n">
        <x:v>11846</x:v>
      </x:c>
    </x:row>
    <x:row r="202" ht="23" customHeight="1">
      <x:c r="A202" s="11" t="n">
        <x:v>10197</x:v>
      </x:c>
      <x:c r="B202" s="31" t="n">
        <x:v>109.3</x:v>
      </x:c>
      <x:c r="C202" s="31" t="n">
        <x:v>67.1</x:v>
      </x:c>
      <x:c r="D202" s="11" t="n">
        <x:v>5</x:v>
      </x:c>
      <x:c r="E202" s="11" t="n">
        <x:v>15</x:v>
      </x:c>
      <x:c r="F202" s="11" t="n">
        <x:v>2020</x:v>
      </x:c>
      <x:c r="G202" s="31" t="n">
        <x:v>31.9</x:v>
      </x:c>
      <x:c r="H202" s="11" t="n">
        <x:v>2594</x:v>
      </x:c>
      <x:c r="I202" s="11" t="n">
        <x:v>8</x:v>
      </x:c>
      <x:c r="J202" s="11" t="n">
        <x:v>739</x:v>
      </x:c>
      <x:c r="K202" s="9" t="str">
        <x:v>Ср</x:v>
      </x:c>
      <x:c r="L202" s="10" t="n">
        <x:v>20.1</x:v>
      </x:c>
      <x:c r="M202" s="31" t="n">
        <x:v>21323.7</x:v>
      </x:c>
    </x:row>
    <x:row r="203" ht="23" customHeight="1">
      <x:c r="A203" s="12" t="n">
        <x:v>10198</x:v>
      </x:c>
      <x:c r="B203" s="32" t="n">
        <x:v>128.5</x:v>
      </x:c>
      <x:c r="C203" s="32" t="n">
        <x:v>77.5</x:v>
      </x:c>
      <x:c r="D203" s="12" t="n">
        <x:v>5</x:v>
      </x:c>
      <x:c r="E203" s="12" t="n">
        <x:v>6</x:v>
      </x:c>
      <x:c r="F203" s="12" t="n">
        <x:v>1986</x:v>
      </x:c>
      <x:c r="G203" s="32" t="n">
        <x:v>2.4</x:v>
      </x:c>
      <x:c r="H203" s="12" t="n">
        <x:v>218</x:v>
      </x:c>
      <x:c r="I203" s="12" t="n">
        <x:v>1</x:v>
      </x:c>
      <x:c r="J203" s="12" t="n">
        <x:v>530</x:v>
      </x:c>
      <x:c r="K203" s="3" t="str">
        <x:v>Ср</x:v>
      </x:c>
      <x:c r="L203" s="8" t="n">
        <x:v>69.51</x:v>
      </x:c>
      <x:c r="M203" s="32" t="n">
        <x:v>24780.5</x:v>
      </x:c>
    </x:row>
    <x:row r="204" ht="23" customHeight="1">
      <x:c r="A204" s="11" t="n">
        <x:v>10199</x:v>
      </x:c>
      <x:c r="B204" s="31" t="n">
        <x:v>127.4</x:v>
      </x:c>
      <x:c r="C204" s="31" t="n">
        <x:v>71.1</x:v>
      </x:c>
      <x:c r="D204" s="11" t="n">
        <x:v>5</x:v>
      </x:c>
      <x:c r="E204" s="11" t="n">
        <x:v>15</x:v>
      </x:c>
      <x:c r="F204" s="11" t="n">
        <x:v>2004</x:v>
      </x:c>
      <x:c r="G204" s="31" t="n">
        <x:v>24.2</x:v>
      </x:c>
      <x:c r="H204" s="11" t="n">
        <x:v>1913</x:v>
      </x:c>
      <x:c r="I204" s="11" t="n">
        <x:v>5</x:v>
      </x:c>
      <x:c r="J204" s="11" t="n">
        <x:v>989</x:v>
      </x:c>
      <x:c r="K204" s="9" t="str">
        <x:v>Чт</x:v>
      </x:c>
      <x:c r="L204" s="10" t="n">
        <x:v>37.74</x:v>
      </x:c>
      <x:c r="M204" s="31" t="n">
        <x:v>23581.2</x:v>
      </x:c>
    </x:row>
    <x:row r="205" ht="23" customHeight="1">
      <x:c r="A205" s="12" t="n">
        <x:v>10200</x:v>
      </x:c>
      <x:c r="B205" s="32" t="n">
        <x:v>115.3</x:v>
      </x:c>
      <x:c r="C205" s="32" t="n">
        <x:v>64.1</x:v>
      </x:c>
      <x:c r="D205" s="12" t="n">
        <x:v>5</x:v>
      </x:c>
      <x:c r="E205" s="12" t="n">
        <x:v>14</x:v>
      </x:c>
      <x:c r="F205" s="12" t="n">
        <x:v>1987</x:v>
      </x:c>
      <x:c r="G205" s="32" t="n">
        <x:v>3.7</x:v>
      </x:c>
      <x:c r="H205" s="12" t="n">
        <x:v>334</x:v>
      </x:c>
      <x:c r="I205" s="12" t="n">
        <x:v>9</x:v>
      </x:c>
      <x:c r="J205" s="12" t="n">
        <x:v>424</x:v>
      </x:c>
      <x:c r="K205" s="3" t="str">
        <x:v>Сб</x:v>
      </x:c>
      <x:c r="L205" s="8" t="n">
        <x:v>42</x:v>
      </x:c>
      <x:c r="M205" s="32" t="n">
        <x:v>22023.1</x:v>
      </x:c>
    </x:row>
    <x:row r="206" ht="23" customHeight="1">
      <x:c r="A206" s="11" t="n">
        <x:v>10201</x:v>
      </x:c>
      <x:c r="B206" s="31" t="n">
        <x:v>99.9</x:v>
      </x:c>
      <x:c r="C206" s="31" t="n">
        <x:v>67.1</x:v>
      </x:c>
      <x:c r="D206" s="11" t="n">
        <x:v>4</x:v>
      </x:c>
      <x:c r="E206" s="11" t="n">
        <x:v>11</x:v>
      </x:c>
      <x:c r="F206" s="11" t="n">
        <x:v>2009</x:v>
      </x:c>
      <x:c r="G206" s="31" t="n">
        <x:v>20.1</x:v>
      </x:c>
      <x:c r="H206" s="11" t="n">
        <x:v>1538</x:v>
      </x:c>
      <x:c r="I206" s="11" t="n">
        <x:v>7</x:v>
      </x:c>
      <x:c r="J206" s="11" t="n">
        <x:v>541</x:v>
      </x:c>
      <x:c r="K206" s="9" t="str">
        <x:v>Чт</x:v>
      </x:c>
      <x:c r="L206" s="10" t="n">
        <x:v>65.88</x:v>
      </x:c>
      <x:c r="M206" s="31" t="n">
        <x:v>18988</x:v>
      </x:c>
    </x:row>
    <x:row r="207" ht="23" customHeight="1">
      <x:c r="A207" s="12" t="n">
        <x:v>10202</x:v>
      </x:c>
      <x:c r="B207" s="32" t="n">
        <x:v>37.4</x:v>
      </x:c>
      <x:c r="C207" s="32" t="n">
        <x:v>23</x:v>
      </x:c>
      <x:c r="D207" s="12" t="n">
        <x:v>2</x:v>
      </x:c>
      <x:c r="E207" s="12" t="n">
        <x:v>7</x:v>
      </x:c>
      <x:c r="F207" s="12" t="n">
        <x:v>1991</x:v>
      </x:c>
      <x:c r="G207" s="32" t="n">
        <x:v>11.5</x:v>
      </x:c>
      <x:c r="H207" s="12" t="n">
        <x:v>973</x:v>
      </x:c>
      <x:c r="I207" s="12" t="n">
        <x:v>4</x:v>
      </x:c>
      <x:c r="J207" s="12" t="n">
        <x:v>903</x:v>
      </x:c>
      <x:c r="K207" s="3" t="str">
        <x:v>Ср</x:v>
      </x:c>
      <x:c r="L207" s="8" t="n">
        <x:v>25.78</x:v>
      </x:c>
      <x:c r="M207" s="32" t="n">
        <x:v>7989.1</x:v>
      </x:c>
    </x:row>
    <x:row r="208" ht="23" customHeight="1">
      <x:c r="A208" s="11" t="n">
        <x:v>10203</x:v>
      </x:c>
      <x:c r="B208" s="31" t="n">
        <x:v>46.1</x:v>
      </x:c>
      <x:c r="C208" s="31" t="n">
        <x:v>25.2</x:v>
      </x:c>
      <x:c r="D208" s="11" t="n">
        <x:v>3</x:v>
      </x:c>
      <x:c r="E208" s="11" t="n">
        <x:v>9</x:v>
      </x:c>
      <x:c r="F208" s="11" t="n">
        <x:v>1993</x:v>
      </x:c>
      <x:c r="G208" s="31" t="n">
        <x:v>12.1</x:v>
      </x:c>
      <x:c r="H208" s="11" t="n">
        <x:v>908</x:v>
      </x:c>
      <x:c r="I208" s="11" t="n">
        <x:v>9</x:v>
      </x:c>
      <x:c r="J208" s="11" t="n">
        <x:v>387</x:v>
      </x:c>
      <x:c r="K208" s="9" t="str">
        <x:v>Пн</x:v>
      </x:c>
      <x:c r="L208" s="10" t="n">
        <x:v>32.16</x:v>
      </x:c>
      <x:c r="M208" s="31" t="n">
        <x:v>10441.2</x:v>
      </x:c>
    </x:row>
    <x:row r="209" ht="23" customHeight="1">
      <x:c r="A209" s="12" t="n">
        <x:v>10204</x:v>
      </x:c>
      <x:c r="B209" s="32" t="n">
        <x:v>128.6</x:v>
      </x:c>
      <x:c r="C209" s="32" t="n">
        <x:v>82</x:v>
      </x:c>
      <x:c r="D209" s="12" t="n">
        <x:v>5</x:v>
      </x:c>
      <x:c r="E209" s="12" t="n">
        <x:v>16</x:v>
      </x:c>
      <x:c r="F209" s="12" t="n">
        <x:v>1988</x:v>
      </x:c>
      <x:c r="G209" s="32" t="n">
        <x:v>13.6</x:v>
      </x:c>
      <x:c r="H209" s="12" t="n">
        <x:v>1102</x:v>
      </x:c>
      <x:c r="I209" s="12" t="n">
        <x:v>9</x:v>
      </x:c>
      <x:c r="J209" s="12" t="n">
        <x:v>325</x:v>
      </x:c>
      <x:c r="K209" s="3" t="str">
        <x:v>Вт</x:v>
      </x:c>
      <x:c r="L209" s="8" t="n">
        <x:v>54.02</x:v>
      </x:c>
      <x:c r="M209" s="32" t="n">
        <x:v>24023.3</x:v>
      </x:c>
    </x:row>
    <x:row r="210" ht="23" customHeight="1">
      <x:c r="A210" s="11" t="n">
        <x:v>10205</x:v>
      </x:c>
      <x:c r="B210" s="31" t="n">
        <x:v>95.9</x:v>
      </x:c>
      <x:c r="C210" s="31" t="n">
        <x:v>56.7</x:v>
      </x:c>
      <x:c r="D210" s="11" t="n">
        <x:v>4</x:v>
      </x:c>
      <x:c r="E210" s="11" t="n">
        <x:v>5</x:v>
      </x:c>
      <x:c r="F210" s="11" t="n">
        <x:v>2006</x:v>
      </x:c>
      <x:c r="G210" s="31" t="n">
        <x:v>22.5</x:v>
      </x:c>
      <x:c r="H210" s="11" t="n">
        <x:v>1758</x:v>
      </x:c>
      <x:c r="I210" s="11" t="n">
        <x:v>2</x:v>
      </x:c>
      <x:c r="J210" s="11" t="n">
        <x:v>163</x:v>
      </x:c>
      <x:c r="K210" s="9" t="str">
        <x:v>Вт</x:v>
      </x:c>
      <x:c r="L210" s="10" t="n">
        <x:v>57.81</x:v>
      </x:c>
      <x:c r="M210" s="31" t="n">
        <x:v>18109.7</x:v>
      </x:c>
    </x:row>
    <x:row r="211" ht="23" customHeight="1">
      <x:c r="A211" s="12" t="n">
        <x:v>10206</x:v>
      </x:c>
      <x:c r="B211" s="32" t="n">
        <x:v>29</x:v>
      </x:c>
      <x:c r="C211" s="32" t="n">
        <x:v>20.3</x:v>
      </x:c>
      <x:c r="D211" s="12" t="n">
        <x:v>2</x:v>
      </x:c>
      <x:c r="E211" s="12" t="n">
        <x:v>25</x:v>
      </x:c>
      <x:c r="F211" s="12" t="n">
        <x:v>2008</x:v>
      </x:c>
      <x:c r="G211" s="32" t="n">
        <x:v>13</x:v>
      </x:c>
      <x:c r="H211" s="12" t="n">
        <x:v>1068</x:v>
      </x:c>
      <x:c r="I211" s="12" t="n">
        <x:v>6</x:v>
      </x:c>
      <x:c r="J211" s="12" t="n">
        <x:v>659</x:v>
      </x:c>
      <x:c r="K211" s="3" t="str">
        <x:v>Вс</x:v>
      </x:c>
      <x:c r="L211" s="8" t="n">
        <x:v>48.92</x:v>
      </x:c>
      <x:c r="M211" s="32" t="n">
        <x:v>7789.7</x:v>
      </x:c>
    </x:row>
    <x:row r="212" ht="23" customHeight="1">
      <x:c r="A212" s="11" t="n">
        <x:v>10207</x:v>
      </x:c>
      <x:c r="B212" s="31" t="n">
        <x:v>39.4</x:v>
      </x:c>
      <x:c r="C212" s="31" t="n">
        <x:v>24.7</x:v>
      </x:c>
      <x:c r="D212" s="11" t="n">
        <x:v>2</x:v>
      </x:c>
      <x:c r="E212" s="11" t="n">
        <x:v>20</x:v>
      </x:c>
      <x:c r="F212" s="11" t="n">
        <x:v>1990</x:v>
      </x:c>
      <x:c r="G212" s="31" t="n">
        <x:v>26.2</x:v>
      </x:c>
      <x:c r="H212" s="11" t="n">
        <x:v>2094</x:v>
      </x:c>
      <x:c r="I212" s="11" t="n">
        <x:v>4</x:v>
      </x:c>
      <x:c r="J212" s="11" t="n">
        <x:v>813</x:v>
      </x:c>
      <x:c r="K212" s="9" t="str">
        <x:v>Сб</x:v>
      </x:c>
      <x:c r="L212" s="10" t="n">
        <x:v>49.41</x:v>
      </x:c>
      <x:c r="M212" s="31" t="n">
        <x:v>7488.9</x:v>
      </x:c>
    </x:row>
    <x:row r="213" ht="23" customHeight="1">
      <x:c r="A213" s="12" t="n">
        <x:v>10208</x:v>
      </x:c>
      <x:c r="B213" s="32" t="n">
        <x:v>102.3</x:v>
      </x:c>
      <x:c r="C213" s="32" t="n">
        <x:v>67.6</x:v>
      </x:c>
      <x:c r="D213" s="12" t="n">
        <x:v>4</x:v>
      </x:c>
      <x:c r="E213" s="12" t="n">
        <x:v>10</x:v>
      </x:c>
      <x:c r="F213" s="12" t="n">
        <x:v>1977</x:v>
      </x:c>
      <x:c r="G213" s="32" t="n">
        <x:v>15.3</x:v>
      </x:c>
      <x:c r="H213" s="12" t="n">
        <x:v>1144</x:v>
      </x:c>
      <x:c r="I213" s="12" t="n">
        <x:v>8</x:v>
      </x:c>
      <x:c r="J213" s="12" t="n">
        <x:v>597</x:v>
      </x:c>
      <x:c r="K213" s="3" t="str">
        <x:v>Пт</x:v>
      </x:c>
      <x:c r="L213" s="8" t="n">
        <x:v>69.03</x:v>
      </x:c>
      <x:c r="M213" s="32" t="n">
        <x:v>17838.7</x:v>
      </x:c>
    </x:row>
    <x:row r="214" ht="23" customHeight="1">
      <x:c r="A214" s="11" t="n">
        <x:v>10209</x:v>
      </x:c>
      <x:c r="B214" s="31" t="n">
        <x:v>28.6</x:v>
      </x:c>
      <x:c r="C214" s="31" t="n">
        <x:v>23</x:v>
      </x:c>
      <x:c r="D214" s="11" t="n">
        <x:v>1</x:v>
      </x:c>
      <x:c r="E214" s="11" t="n">
        <x:v>18</x:v>
      </x:c>
      <x:c r="F214" s="11" t="n">
        <x:v>1997</x:v>
      </x:c>
      <x:c r="G214" s="31" t="n">
        <x:v>4.3</x:v>
      </x:c>
      <x:c r="H214" s="11" t="n">
        <x:v>365</x:v>
      </x:c>
      <x:c r="I214" s="11" t="n">
        <x:v>7</x:v>
      </x:c>
      <x:c r="J214" s="11" t="n">
        <x:v>948</x:v>
      </x:c>
      <x:c r="K214" s="9" t="str">
        <x:v>Пт</x:v>
      </x:c>
      <x:c r="L214" s="10" t="n">
        <x:v>59.54</x:v>
      </x:c>
      <x:c r="M214" s="31" t="n">
        <x:v>8593.7</x:v>
      </x:c>
    </x:row>
    <x:row r="215" ht="23" customHeight="1">
      <x:c r="A215" s="12" t="n">
        <x:v>10210</x:v>
      </x:c>
      <x:c r="B215" s="32" t="n">
        <x:v>46</x:v>
      </x:c>
      <x:c r="C215" s="32" t="n">
        <x:v>29</x:v>
      </x:c>
      <x:c r="D215" s="12" t="n">
        <x:v>2</x:v>
      </x:c>
      <x:c r="E215" s="12" t="n">
        <x:v>3</x:v>
      </x:c>
      <x:c r="F215" s="12" t="n">
        <x:v>1974</x:v>
      </x:c>
      <x:c r="G215" s="32" t="n">
        <x:v>27.9</x:v>
      </x:c>
      <x:c r="H215" s="12" t="n">
        <x:v>2203</x:v>
      </x:c>
      <x:c r="I215" s="12" t="n">
        <x:v>7</x:v>
      </x:c>
      <x:c r="J215" s="12" t="n">
        <x:v>159</x:v>
      </x:c>
      <x:c r="K215" s="3" t="str">
        <x:v>Вт</x:v>
      </x:c>
      <x:c r="L215" s="8" t="n">
        <x:v>57.52</x:v>
      </x:c>
      <x:c r="M215" s="32" t="n">
        <x:v>6744.6</x:v>
      </x:c>
    </x:row>
    <x:row r="216" ht="23" customHeight="1">
      <x:c r="A216" s="11" t="n">
        <x:v>10211</x:v>
      </x:c>
      <x:c r="B216" s="31" t="n">
        <x:v>89.5</x:v>
      </x:c>
      <x:c r="C216" s="31" t="n">
        <x:v>55.8</x:v>
      </x:c>
      <x:c r="D216" s="11" t="n">
        <x:v>3</x:v>
      </x:c>
      <x:c r="E216" s="11" t="n">
        <x:v>13</x:v>
      </x:c>
      <x:c r="F216" s="11" t="n">
        <x:v>1986</x:v>
      </x:c>
      <x:c r="G216" s="31" t="n">
        <x:v>11.4</x:v>
      </x:c>
      <x:c r="H216" s="11" t="n">
        <x:v>956</x:v>
      </x:c>
      <x:c r="I216" s="11" t="n">
        <x:v>9</x:v>
      </x:c>
      <x:c r="J216" s="11" t="n">
        <x:v>496</x:v>
      </x:c>
      <x:c r="K216" s="9" t="str">
        <x:v>Ср</x:v>
      </x:c>
      <x:c r="L216" s="10" t="n">
        <x:v>61.63</x:v>
      </x:c>
      <x:c r="M216" s="31" t="n">
        <x:v>17042.2</x:v>
      </x:c>
    </x:row>
    <x:row r="217" ht="23" customHeight="1">
      <x:c r="A217" s="12" t="n">
        <x:v>10212</x:v>
      </x:c>
      <x:c r="B217" s="32" t="n">
        <x:v>105.5</x:v>
      </x:c>
      <x:c r="C217" s="32" t="n">
        <x:v>63.5</x:v>
      </x:c>
      <x:c r="D217" s="12" t="n">
        <x:v>4</x:v>
      </x:c>
      <x:c r="E217" s="12" t="n">
        <x:v>11</x:v>
      </x:c>
      <x:c r="F217" s="12" t="n">
        <x:v>2006</x:v>
      </x:c>
      <x:c r="G217" s="32" t="n">
        <x:v>16.3</x:v>
      </x:c>
      <x:c r="H217" s="12" t="n">
        <x:v>1304</x:v>
      </x:c>
      <x:c r="I217" s="12" t="n">
        <x:v>5</x:v>
      </x:c>
      <x:c r="J217" s="12" t="n">
        <x:v>356</x:v>
      </x:c>
      <x:c r="K217" s="3" t="str">
        <x:v>Ср</x:v>
      </x:c>
      <x:c r="L217" s="8" t="n">
        <x:v>45.49</x:v>
      </x:c>
      <x:c r="M217" s="32" t="n">
        <x:v>20943.2</x:v>
      </x:c>
    </x:row>
    <x:row r="218" ht="23" customHeight="1">
      <x:c r="A218" s="11" t="n">
        <x:v>10213</x:v>
      </x:c>
      <x:c r="B218" s="31" t="n">
        <x:v>101</x:v>
      </x:c>
      <x:c r="C218" s="31" t="n">
        <x:v>68.6</x:v>
      </x:c>
      <x:c r="D218" s="11" t="n">
        <x:v>4</x:v>
      </x:c>
      <x:c r="E218" s="11" t="n">
        <x:v>17</x:v>
      </x:c>
      <x:c r="F218" s="11" t="n">
        <x:v>2005</x:v>
      </x:c>
      <x:c r="G218" s="31" t="n">
        <x:v>24.6</x:v>
      </x:c>
      <x:c r="H218" s="11" t="n">
        <x:v>1988</x:v>
      </x:c>
      <x:c r="I218" s="11" t="n">
        <x:v>6</x:v>
      </x:c>
      <x:c r="J218" s="11" t="n">
        <x:v>676</x:v>
      </x:c>
      <x:c r="K218" s="9" t="str">
        <x:v>Чт</x:v>
      </x:c>
      <x:c r="L218" s="10" t="n">
        <x:v>82.6</x:v>
      </x:c>
      <x:c r="M218" s="31" t="n">
        <x:v>19623.6</x:v>
      </x:c>
    </x:row>
    <x:row r="219" ht="23" customHeight="1">
      <x:c r="A219" s="12" t="n">
        <x:v>10214</x:v>
      </x:c>
      <x:c r="B219" s="32" t="n">
        <x:v>53.1</x:v>
      </x:c>
      <x:c r="C219" s="32" t="n">
        <x:v>33.1</x:v>
      </x:c>
      <x:c r="D219" s="12" t="n">
        <x:v>2</x:v>
      </x:c>
      <x:c r="E219" s="12" t="n">
        <x:v>22</x:v>
      </x:c>
      <x:c r="F219" s="12" t="n">
        <x:v>2023</x:v>
      </x:c>
      <x:c r="G219" s="32" t="n">
        <x:v>13</x:v>
      </x:c>
      <x:c r="H219" s="12" t="n">
        <x:v>992</x:v>
      </x:c>
      <x:c r="I219" s="12" t="n">
        <x:v>1</x:v>
      </x:c>
      <x:c r="J219" s="12" t="n">
        <x:v>338</x:v>
      </x:c>
      <x:c r="K219" s="3" t="str">
        <x:v>Сб</x:v>
      </x:c>
      <x:c r="L219" s="8" t="n">
        <x:v>15.39</x:v>
      </x:c>
      <x:c r="M219" s="32" t="n">
        <x:v>12745.2</x:v>
      </x:c>
    </x:row>
    <x:row r="220" ht="23" customHeight="1">
      <x:c r="A220" s="11" t="n">
        <x:v>10215</x:v>
      </x:c>
      <x:c r="B220" s="31" t="n">
        <x:v>107.8</x:v>
      </x:c>
      <x:c r="C220" s="31" t="n">
        <x:v>64.5</x:v>
      </x:c>
      <x:c r="D220" s="11" t="n">
        <x:v>4</x:v>
      </x:c>
      <x:c r="E220" s="11" t="n">
        <x:v>13</x:v>
      </x:c>
      <x:c r="F220" s="11" t="n">
        <x:v>1988</x:v>
      </x:c>
      <x:c r="G220" s="31" t="n">
        <x:v>3.9</x:v>
      </x:c>
      <x:c r="H220" s="11" t="n">
        <x:v>283</x:v>
      </x:c>
      <x:c r="I220" s="11" t="n">
        <x:v>6</x:v>
      </x:c>
      <x:c r="J220" s="11" t="n">
        <x:v>900</x:v>
      </x:c>
      <x:c r="K220" s="9" t="str">
        <x:v>Чт</x:v>
      </x:c>
      <x:c r="L220" s="10" t="n">
        <x:v>71.87</x:v>
      </x:c>
      <x:c r="M220" s="31" t="n">
        <x:v>20837.4</x:v>
      </x:c>
    </x:row>
    <x:row r="221" ht="23" customHeight="1">
      <x:c r="A221" s="12" t="n">
        <x:v>10216</x:v>
      </x:c>
      <x:c r="B221" s="32" t="n">
        <x:v>54.6</x:v>
      </x:c>
      <x:c r="C221" s="32" t="n">
        <x:v>32.3</x:v>
      </x:c>
      <x:c r="D221" s="12" t="n">
        <x:v>2</x:v>
      </x:c>
      <x:c r="E221" s="12" t="n">
        <x:v>6</x:v>
      </x:c>
      <x:c r="F221" s="12" t="n">
        <x:v>1996</x:v>
      </x:c>
      <x:c r="G221" s="32" t="n">
        <x:v>14.3</x:v>
      </x:c>
      <x:c r="H221" s="12" t="n">
        <x:v>1121</x:v>
      </x:c>
      <x:c r="I221" s="12" t="n">
        <x:v>2</x:v>
      </x:c>
      <x:c r="J221" s="12" t="n">
        <x:v>137</x:v>
      </x:c>
      <x:c r="K221" s="3" t="str">
        <x:v>Пт</x:v>
      </x:c>
      <x:c r="L221" s="8" t="n">
        <x:v>63.53</x:v>
      </x:c>
      <x:c r="M221" s="32" t="n">
        <x:v>11044</x:v>
      </x:c>
    </x:row>
    <x:row r="222" ht="23" customHeight="1">
      <x:c r="A222" s="11" t="n">
        <x:v>10217</x:v>
      </x:c>
      <x:c r="B222" s="31" t="n">
        <x:v>64.4</x:v>
      </x:c>
      <x:c r="C222" s="31" t="n">
        <x:v>41.2</x:v>
      </x:c>
      <x:c r="D222" s="11" t="n">
        <x:v>3</x:v>
      </x:c>
      <x:c r="E222" s="11" t="n">
        <x:v>17</x:v>
      </x:c>
      <x:c r="F222" s="11" t="n">
        <x:v>2022</x:v>
      </x:c>
      <x:c r="G222" s="31" t="n">
        <x:v>33.2</x:v>
      </x:c>
      <x:c r="H222" s="11" t="n">
        <x:v>2699</x:v>
      </x:c>
      <x:c r="I222" s="11" t="n">
        <x:v>6</x:v>
      </x:c>
      <x:c r="J222" s="11" t="n">
        <x:v>124</x:v>
      </x:c>
      <x:c r="K222" s="9" t="str">
        <x:v>Вт</x:v>
      </x:c>
      <x:c r="L222" s="10" t="n">
        <x:v>53.72</x:v>
      </x:c>
      <x:c r="M222" s="31" t="n">
        <x:v>12371.1</x:v>
      </x:c>
    </x:row>
    <x:row r="223" ht="23" customHeight="1">
      <x:c r="A223" s="12" t="n">
        <x:v>10218</x:v>
      </x:c>
      <x:c r="B223" s="32" t="n">
        <x:v>111.6</x:v>
      </x:c>
      <x:c r="C223" s="32" t="n">
        <x:v>69</x:v>
      </x:c>
      <x:c r="D223" s="12" t="n">
        <x:v>4</x:v>
      </x:c>
      <x:c r="E223" s="12" t="n">
        <x:v>13</x:v>
      </x:c>
      <x:c r="F223" s="12" t="n">
        <x:v>2003</x:v>
      </x:c>
      <x:c r="G223" s="32" t="n">
        <x:v>23.2</x:v>
      </x:c>
      <x:c r="H223" s="12" t="n">
        <x:v>1940</x:v>
      </x:c>
      <x:c r="I223" s="12" t="n">
        <x:v>9</x:v>
      </x:c>
      <x:c r="J223" s="12" t="n">
        <x:v>509</x:v>
      </x:c>
      <x:c r="K223" s="3" t="str">
        <x:v>Вс</x:v>
      </x:c>
      <x:c r="L223" s="8" t="n">
        <x:v>51.2</x:v>
      </x:c>
      <x:c r="M223" s="32" t="n">
        <x:v>20662.1</x:v>
      </x:c>
    </x:row>
    <x:row r="224" ht="23" customHeight="1">
      <x:c r="A224" s="11" t="n">
        <x:v>10219</x:v>
      </x:c>
      <x:c r="B224" s="31" t="n">
        <x:v>100.8</x:v>
      </x:c>
      <x:c r="C224" s="31" t="n">
        <x:v>67.3</x:v>
      </x:c>
      <x:c r="D224" s="11" t="n">
        <x:v>5</x:v>
      </x:c>
      <x:c r="E224" s="11" t="n">
        <x:v>19</x:v>
      </x:c>
      <x:c r="F224" s="11" t="n">
        <x:v>1980</x:v>
      </x:c>
      <x:c r="G224" s="31" t="n">
        <x:v>24.2</x:v>
      </x:c>
      <x:c r="H224" s="11" t="n">
        <x:v>1896</x:v>
      </x:c>
      <x:c r="I224" s="11" t="n">
        <x:v>8</x:v>
      </x:c>
      <x:c r="J224" s="11" t="n">
        <x:v>560</x:v>
      </x:c>
      <x:c r="K224" s="9" t="str">
        <x:v>Ср</x:v>
      </x:c>
      <x:c r="L224" s="10" t="n">
        <x:v>47.67</x:v>
      </x:c>
      <x:c r="M224" s="31" t="n">
        <x:v>17117.5</x:v>
      </x:c>
    </x:row>
    <x:row r="225" ht="23" customHeight="1">
      <x:c r="A225" s="12" t="n">
        <x:v>10220</x:v>
      </x:c>
      <x:c r="B225" s="32" t="n">
        <x:v>123.1</x:v>
      </x:c>
      <x:c r="C225" s="32" t="n">
        <x:v>72.3</x:v>
      </x:c>
      <x:c r="D225" s="12" t="n">
        <x:v>5</x:v>
      </x:c>
      <x:c r="E225" s="12" t="n">
        <x:v>21</x:v>
      </x:c>
      <x:c r="F225" s="12" t="n">
        <x:v>2023</x:v>
      </x:c>
      <x:c r="G225" s="32" t="n">
        <x:v>22.9</x:v>
      </x:c>
      <x:c r="H225" s="12" t="n">
        <x:v>1886</x:v>
      </x:c>
      <x:c r="I225" s="12" t="n">
        <x:v>9</x:v>
      </x:c>
      <x:c r="J225" s="12" t="n">
        <x:v>670</x:v>
      </x:c>
      <x:c r="K225" s="3" t="str">
        <x:v>Вт</x:v>
      </x:c>
      <x:c r="L225" s="8" t="n">
        <x:v>66.55</x:v>
      </x:c>
      <x:c r="M225" s="32" t="n">
        <x:v>24239</x:v>
      </x:c>
    </x:row>
    <x:row r="226" ht="23" customHeight="1">
      <x:c r="A226" s="11" t="n">
        <x:v>10221</x:v>
      </x:c>
      <x:c r="B226" s="31" t="n">
        <x:v>101.7</x:v>
      </x:c>
      <x:c r="C226" s="31" t="n">
        <x:v>63.1</x:v>
      </x:c>
      <x:c r="D226" s="11" t="n">
        <x:v>4</x:v>
      </x:c>
      <x:c r="E226" s="11" t="n">
        <x:v>19</x:v>
      </x:c>
      <x:c r="F226" s="11" t="n">
        <x:v>2014</x:v>
      </x:c>
      <x:c r="G226" s="31" t="n">
        <x:v>8.6</x:v>
      </x:c>
      <x:c r="H226" s="11" t="n">
        <x:v>580</x:v>
      </x:c>
      <x:c r="I226" s="11" t="n">
        <x:v>8</x:v>
      </x:c>
      <x:c r="J226" s="11" t="n">
        <x:v>516</x:v>
      </x:c>
      <x:c r="K226" s="9" t="str">
        <x:v>Пн</x:v>
      </x:c>
      <x:c r="L226" s="10" t="n">
        <x:v>49.4</x:v>
      </x:c>
      <x:c r="M226" s="31" t="n">
        <x:v>20901.1</x:v>
      </x:c>
    </x:row>
    <x:row r="227" ht="23" customHeight="1">
      <x:c r="A227" s="12" t="n">
        <x:v>10222</x:v>
      </x:c>
      <x:c r="B227" s="32" t="n">
        <x:v>91.7</x:v>
      </x:c>
      <x:c r="C227" s="32" t="n">
        <x:v>61.2</x:v>
      </x:c>
      <x:c r="D227" s="12" t="n">
        <x:v>4</x:v>
      </x:c>
      <x:c r="E227" s="12" t="n">
        <x:v>10</x:v>
      </x:c>
      <x:c r="F227" s="12" t="n">
        <x:v>2016</x:v>
      </x:c>
      <x:c r="G227" s="32" t="n">
        <x:v>15.8</x:v>
      </x:c>
      <x:c r="H227" s="12" t="n">
        <x:v>1204</x:v>
      </x:c>
      <x:c r="I227" s="12" t="n">
        <x:v>3</x:v>
      </x:c>
      <x:c r="J227" s="12" t="n">
        <x:v>456</x:v>
      </x:c>
      <x:c r="K227" s="3" t="str">
        <x:v>Вт</x:v>
      </x:c>
      <x:c r="L227" s="8" t="n">
        <x:v>39.08</x:v>
      </x:c>
      <x:c r="M227" s="32" t="n">
        <x:v>17991.5</x:v>
      </x:c>
    </x:row>
    <x:row r="228" ht="23" customHeight="1">
      <x:c r="A228" s="11" t="n">
        <x:v>10223</x:v>
      </x:c>
      <x:c r="B228" s="31" t="n">
        <x:v>38.5</x:v>
      </x:c>
      <x:c r="C228" s="31" t="n">
        <x:v>27.5</x:v>
      </x:c>
      <x:c r="D228" s="11" t="n">
        <x:v>1</x:v>
      </x:c>
      <x:c r="E228" s="11" t="n">
        <x:v>3</x:v>
      </x:c>
      <x:c r="F228" s="11" t="n">
        <x:v>1981</x:v>
      </x:c>
      <x:c r="G228" s="31" t="n">
        <x:v>26.8</x:v>
      </x:c>
      <x:c r="H228" s="11" t="n">
        <x:v>2096</x:v>
      </x:c>
      <x:c r="I228" s="11" t="n">
        <x:v>8</x:v>
      </x:c>
      <x:c r="J228" s="11" t="n">
        <x:v>482</x:v>
      </x:c>
      <x:c r="K228" s="9" t="str">
        <x:v>Пн</x:v>
      </x:c>
      <x:c r="L228" s="10" t="n">
        <x:v>63.53</x:v>
      </x:c>
      <x:c r="M228" s="31" t="n">
        <x:v>6022.2</x:v>
      </x:c>
    </x:row>
    <x:row r="229" ht="23" customHeight="1">
      <x:c r="A229" s="12" t="n">
        <x:v>10224</x:v>
      </x:c>
      <x:c r="B229" s="32" t="n">
        <x:v>69.2</x:v>
      </x:c>
      <x:c r="C229" s="32" t="n">
        <x:v>44.2</x:v>
      </x:c>
      <x:c r="D229" s="12" t="n">
        <x:v>3</x:v>
      </x:c>
      <x:c r="E229" s="12" t="n">
        <x:v>14</x:v>
      </x:c>
      <x:c r="F229" s="12" t="n">
        <x:v>2023</x:v>
      </x:c>
      <x:c r="G229" s="32" t="n">
        <x:v>5.3</x:v>
      </x:c>
      <x:c r="H229" s="12" t="n">
        <x:v>356</x:v>
      </x:c>
      <x:c r="I229" s="12" t="n">
        <x:v>6</x:v>
      </x:c>
      <x:c r="J229" s="12" t="n">
        <x:v>908</x:v>
      </x:c>
      <x:c r="K229" s="3" t="str">
        <x:v>Чт</x:v>
      </x:c>
      <x:c r="L229" s="8" t="n">
        <x:v>73.77</x:v>
      </x:c>
      <x:c r="M229" s="32" t="n">
        <x:v>15892.9</x:v>
      </x:c>
    </x:row>
    <x:row r="230" ht="23" customHeight="1">
      <x:c r="A230" s="11" t="n">
        <x:v>10225</x:v>
      </x:c>
      <x:c r="B230" s="31" t="n">
        <x:v>57.7</x:v>
      </x:c>
      <x:c r="C230" s="31" t="n">
        <x:v>34.3</x:v>
      </x:c>
      <x:c r="D230" s="11" t="n">
        <x:v>2</x:v>
      </x:c>
      <x:c r="E230" s="11" t="n">
        <x:v>19</x:v>
      </x:c>
      <x:c r="F230" s="11" t="n">
        <x:v>1990</x:v>
      </x:c>
      <x:c r="G230" s="31" t="n">
        <x:v>11.2</x:v>
      </x:c>
      <x:c r="H230" s="11" t="n">
        <x:v>817</x:v>
      </x:c>
      <x:c r="I230" s="11" t="n">
        <x:v>6</x:v>
      </x:c>
      <x:c r="J230" s="11" t="n">
        <x:v>257</x:v>
      </x:c>
      <x:c r="K230" s="9" t="str">
        <x:v>Чт</x:v>
      </x:c>
      <x:c r="L230" s="10" t="n">
        <x:v>21.09</x:v>
      </x:c>
      <x:c r="M230" s="31" t="n">
        <x:v>11182.2</x:v>
      </x:c>
    </x:row>
    <x:row r="231" ht="23" customHeight="1">
      <x:c r="A231" s="12" t="n">
        <x:v>10226</x:v>
      </x:c>
      <x:c r="B231" s="32" t="n">
        <x:v>55.3</x:v>
      </x:c>
      <x:c r="C231" s="32" t="n">
        <x:v>31.7</x:v>
      </x:c>
      <x:c r="D231" s="12" t="n">
        <x:v>2</x:v>
      </x:c>
      <x:c r="E231" s="12" t="n">
        <x:v>5</x:v>
      </x:c>
      <x:c r="F231" s="12" t="n">
        <x:v>2023</x:v>
      </x:c>
      <x:c r="G231" s="32" t="n">
        <x:v>11.1</x:v>
      </x:c>
      <x:c r="H231" s="12" t="n">
        <x:v>909</x:v>
      </x:c>
      <x:c r="I231" s="12" t="n">
        <x:v>6</x:v>
      </x:c>
      <x:c r="J231" s="12" t="n">
        <x:v>668</x:v>
      </x:c>
      <x:c r="K231" s="3" t="str">
        <x:v>Пт</x:v>
      </x:c>
      <x:c r="L231" s="8" t="n">
        <x:v>85.36</x:v>
      </x:c>
      <x:c r="M231" s="32" t="n">
        <x:v>13003.3</x:v>
      </x:c>
    </x:row>
    <x:row r="232" ht="23" customHeight="1">
      <x:c r="A232" s="11" t="n">
        <x:v>10227</x:v>
      </x:c>
      <x:c r="B232" s="31" t="n">
        <x:v>137</x:v>
      </x:c>
      <x:c r="C232" s="31" t="n">
        <x:v>94.3</x:v>
      </x:c>
      <x:c r="D232" s="11" t="n">
        <x:v>5</x:v>
      </x:c>
      <x:c r="E232" s="11" t="n">
        <x:v>5</x:v>
      </x:c>
      <x:c r="F232" s="11" t="n">
        <x:v>1980</x:v>
      </x:c>
      <x:c r="G232" s="31" t="n">
        <x:v>16.3</x:v>
      </x:c>
      <x:c r="H232" s="11" t="n">
        <x:v>1293</x:v>
      </x:c>
      <x:c r="I232" s="11" t="n">
        <x:v>3</x:v>
      </x:c>
      <x:c r="J232" s="11" t="n">
        <x:v>532</x:v>
      </x:c>
      <x:c r="K232" s="9" t="str">
        <x:v>Вт</x:v>
      </x:c>
      <x:c r="L232" s="10" t="n">
        <x:v>34.45</x:v>
      </x:c>
      <x:c r="M232" s="31" t="n">
        <x:v>24582.1</x:v>
      </x:c>
    </x:row>
    <x:row r="233" ht="23" customHeight="1">
      <x:c r="A233" s="12" t="n">
        <x:v>10228</x:v>
      </x:c>
      <x:c r="B233" s="32" t="n">
        <x:v>72</x:v>
      </x:c>
      <x:c r="C233" s="32" t="n">
        <x:v>41.3</x:v>
      </x:c>
      <x:c r="D233" s="12" t="n">
        <x:v>4</x:v>
      </x:c>
      <x:c r="E233" s="12" t="n">
        <x:v>20</x:v>
      </x:c>
      <x:c r="F233" s="12" t="n">
        <x:v>2008</x:v>
      </x:c>
      <x:c r="G233" s="32" t="n">
        <x:v>34.4</x:v>
      </x:c>
      <x:c r="H233" s="12" t="n">
        <x:v>2771</x:v>
      </x:c>
      <x:c r="I233" s="12" t="n">
        <x:v>1</x:v>
      </x:c>
      <x:c r="J233" s="12" t="n">
        <x:v>147</x:v>
      </x:c>
      <x:c r="K233" s="3" t="str">
        <x:v>Вт</x:v>
      </x:c>
      <x:c r="L233" s="8" t="n">
        <x:v>35.6</x:v>
      </x:c>
      <x:c r="M233" s="32" t="n">
        <x:v>13646.6</x:v>
      </x:c>
    </x:row>
    <x:row r="234" ht="23" customHeight="1">
      <x:c r="A234" s="11" t="n">
        <x:v>10229</x:v>
      </x:c>
      <x:c r="B234" s="31" t="n">
        <x:v>127.9</x:v>
      </x:c>
      <x:c r="C234" s="31" t="n">
        <x:v>87.5</x:v>
      </x:c>
      <x:c r="D234" s="11" t="n">
        <x:v>5</x:v>
      </x:c>
      <x:c r="E234" s="11" t="n">
        <x:v>17</x:v>
      </x:c>
      <x:c r="F234" s="11" t="n">
        <x:v>1997</x:v>
      </x:c>
      <x:c r="G234" s="31" t="n">
        <x:v>4.2</x:v>
      </x:c>
      <x:c r="H234" s="11" t="n">
        <x:v>371</x:v>
      </x:c>
      <x:c r="I234" s="11" t="n">
        <x:v>4</x:v>
      </x:c>
      <x:c r="J234" s="11" t="n">
        <x:v>427</x:v>
      </x:c>
      <x:c r="K234" s="9" t="str">
        <x:v>Пн</x:v>
      </x:c>
      <x:c r="L234" s="10" t="n">
        <x:v>31.33</x:v>
      </x:c>
      <x:c r="M234" s="31" t="n">
        <x:v>25073.4</x:v>
      </x:c>
    </x:row>
    <x:row r="235" ht="23" customHeight="1">
      <x:c r="A235" s="12" t="n">
        <x:v>10230</x:v>
      </x:c>
      <x:c r="B235" s="32" t="n">
        <x:v>98.7</x:v>
      </x:c>
      <x:c r="C235" s="32" t="n">
        <x:v>66.4</x:v>
      </x:c>
      <x:c r="D235" s="12" t="n">
        <x:v>4</x:v>
      </x:c>
      <x:c r="E235" s="12" t="n">
        <x:v>21</x:v>
      </x:c>
      <x:c r="F235" s="12" t="n">
        <x:v>1974</x:v>
      </x:c>
      <x:c r="G235" s="32" t="n">
        <x:v>19.1</x:v>
      </x:c>
      <x:c r="H235" s="12" t="n">
        <x:v>1541</x:v>
      </x:c>
      <x:c r="I235" s="12" t="n">
        <x:v>6</x:v>
      </x:c>
      <x:c r="J235" s="12" t="n">
        <x:v>532</x:v>
      </x:c>
      <x:c r="K235" s="3" t="str">
        <x:v>Чт</x:v>
      </x:c>
      <x:c r="L235" s="8" t="n">
        <x:v>50.01</x:v>
      </x:c>
      <x:c r="M235" s="32" t="n">
        <x:v>17069.6</x:v>
      </x:c>
    </x:row>
    <x:row r="236" ht="23" customHeight="1">
      <x:c r="A236" s="11" t="n">
        <x:v>10231</x:v>
      </x:c>
      <x:c r="B236" s="31" t="n">
        <x:v>117</x:v>
      </x:c>
      <x:c r="C236" s="31" t="n">
        <x:v>74.3</x:v>
      </x:c>
      <x:c r="D236" s="11" t="n">
        <x:v>4</x:v>
      </x:c>
      <x:c r="E236" s="11" t="n">
        <x:v>10</x:v>
      </x:c>
      <x:c r="F236" s="11" t="n">
        <x:v>1986</x:v>
      </x:c>
      <x:c r="G236" s="31" t="n">
        <x:v>7.9</x:v>
      </x:c>
      <x:c r="H236" s="11" t="n">
        <x:v>665</x:v>
      </x:c>
      <x:c r="I236" s="11" t="n">
        <x:v>2</x:v>
      </x:c>
      <x:c r="J236" s="11" t="n">
        <x:v>530</x:v>
      </x:c>
      <x:c r="K236" s="9" t="str">
        <x:v>Пн</x:v>
      </x:c>
      <x:c r="L236" s="10" t="n">
        <x:v>30.8</x:v>
      </x:c>
      <x:c r="M236" s="31" t="n">
        <x:v>21605.5</x:v>
      </x:c>
    </x:row>
    <x:row r="237" ht="23" customHeight="1">
      <x:c r="A237" s="12" t="n">
        <x:v>10232</x:v>
      </x:c>
      <x:c r="B237" s="32" t="n">
        <x:v>84.3</x:v>
      </x:c>
      <x:c r="C237" s="32" t="n">
        <x:v>46.8</x:v>
      </x:c>
      <x:c r="D237" s="12" t="n">
        <x:v>3</x:v>
      </x:c>
      <x:c r="E237" s="12" t="n">
        <x:v>5</x:v>
      </x:c>
      <x:c r="F237" s="12" t="n">
        <x:v>1989</x:v>
      </x:c>
      <x:c r="G237" s="32" t="n">
        <x:v>34</x:v>
      </x:c>
      <x:c r="H237" s="12" t="n">
        <x:v>2717</x:v>
      </x:c>
      <x:c r="I237" s="12" t="n">
        <x:v>7</x:v>
      </x:c>
      <x:c r="J237" s="12" t="n">
        <x:v>155</x:v>
      </x:c>
      <x:c r="K237" s="3" t="str">
        <x:v>Чт</x:v>
      </x:c>
      <x:c r="L237" s="8" t="n">
        <x:v>32.63</x:v>
      </x:c>
      <x:c r="M237" s="32" t="n">
        <x:v>13801.7</x:v>
      </x:c>
    </x:row>
    <x:row r="238" ht="23" customHeight="1">
      <x:c r="A238" s="11" t="n">
        <x:v>10233</x:v>
      </x:c>
      <x:c r="B238" s="31" t="n">
        <x:v>92.6</x:v>
      </x:c>
      <x:c r="C238" s="31" t="n">
        <x:v>55.4</x:v>
      </x:c>
      <x:c r="D238" s="11" t="n">
        <x:v>3</x:v>
      </x:c>
      <x:c r="E238" s="11" t="n">
        <x:v>4</x:v>
      </x:c>
      <x:c r="F238" s="11" t="n">
        <x:v>2010</x:v>
      </x:c>
      <x:c r="G238" s="31" t="n">
        <x:v>5.7</x:v>
      </x:c>
      <x:c r="H238" s="11" t="n">
        <x:v>397</x:v>
      </x:c>
      <x:c r="I238" s="11" t="n">
        <x:v>7</x:v>
      </x:c>
      <x:c r="J238" s="11" t="n">
        <x:v>676</x:v>
      </x:c>
      <x:c r="K238" s="9" t="str">
        <x:v>Пн</x:v>
      </x:c>
      <x:c r="L238" s="10" t="n">
        <x:v>39.67</x:v>
      </x:c>
      <x:c r="M238" s="31" t="n">
        <x:v>18915.3</x:v>
      </x:c>
    </x:row>
    <x:row r="239" ht="23" customHeight="1">
      <x:c r="A239" s="12" t="n">
        <x:v>10234</x:v>
      </x:c>
      <x:c r="B239" s="32" t="n">
        <x:v>83.2</x:v>
      </x:c>
      <x:c r="C239" s="32" t="n">
        <x:v>48.9</x:v>
      </x:c>
      <x:c r="D239" s="12" t="n">
        <x:v>4</x:v>
      </x:c>
      <x:c r="E239" s="12" t="n">
        <x:v>6</x:v>
      </x:c>
      <x:c r="F239" s="12" t="n">
        <x:v>2015</x:v>
      </x:c>
      <x:c r="G239" s="32" t="n">
        <x:v>15.3</x:v>
      </x:c>
      <x:c r="H239" s="12" t="n">
        <x:v>1277</x:v>
      </x:c>
      <x:c r="I239" s="12" t="n">
        <x:v>4</x:v>
      </x:c>
      <x:c r="J239" s="12" t="n">
        <x:v>367</x:v>
      </x:c>
      <x:c r="K239" s="3" t="str">
        <x:v>Чт</x:v>
      </x:c>
      <x:c r="L239" s="8" t="n">
        <x:v>52.08</x:v>
      </x:c>
      <x:c r="M239" s="32" t="n">
        <x:v>16496.2</x:v>
      </x:c>
    </x:row>
    <x:row r="240" ht="23" customHeight="1">
      <x:c r="A240" s="11" t="n">
        <x:v>10235</x:v>
      </x:c>
      <x:c r="B240" s="31" t="n">
        <x:v>49.9</x:v>
      </x:c>
      <x:c r="C240" s="31" t="n">
        <x:v>29.1</x:v>
      </x:c>
      <x:c r="D240" s="11" t="n">
        <x:v>3</x:v>
      </x:c>
      <x:c r="E240" s="11" t="n">
        <x:v>4</x:v>
      </x:c>
      <x:c r="F240" s="11" t="n">
        <x:v>1981</x:v>
      </x:c>
      <x:c r="G240" s="31" t="n">
        <x:v>26.4</x:v>
      </x:c>
      <x:c r="H240" s="11" t="n">
        <x:v>2083</x:v>
      </x:c>
      <x:c r="I240" s="11" t="n">
        <x:v>4</x:v>
      </x:c>
      <x:c r="J240" s="11" t="n">
        <x:v>168</x:v>
      </x:c>
      <x:c r="K240" s="9" t="str">
        <x:v>Пн</x:v>
      </x:c>
      <x:c r="L240" s="10" t="n">
        <x:v>53.52</x:v>
      </x:c>
      <x:c r="M240" s="31" t="n">
        <x:v>8357.3</x:v>
      </x:c>
    </x:row>
    <x:row r="241" ht="23" customHeight="1">
      <x:c r="A241" s="12" t="n">
        <x:v>10236</x:v>
      </x:c>
      <x:c r="B241" s="32" t="n">
        <x:v>108.9</x:v>
      </x:c>
      <x:c r="C241" s="32" t="n">
        <x:v>67.4</x:v>
      </x:c>
      <x:c r="D241" s="12" t="n">
        <x:v>4</x:v>
      </x:c>
      <x:c r="E241" s="12" t="n">
        <x:v>7</x:v>
      </x:c>
      <x:c r="F241" s="12" t="n">
        <x:v>1975</x:v>
      </x:c>
      <x:c r="G241" s="32" t="n">
        <x:v>25.3</x:v>
      </x:c>
      <x:c r="H241" s="12" t="n">
        <x:v>1977</x:v>
      </x:c>
      <x:c r="I241" s="12" t="n">
        <x:v>1</x:v>
      </x:c>
      <x:c r="J241" s="12" t="n">
        <x:v>827</x:v>
      </x:c>
      <x:c r="K241" s="3" t="str">
        <x:v>Вс</x:v>
      </x:c>
      <x:c r="L241" s="8" t="n">
        <x:v>68.62</x:v>
      </x:c>
      <x:c r="M241" s="32" t="n">
        <x:v>18252.3</x:v>
      </x:c>
    </x:row>
    <x:row r="242" ht="23" customHeight="1">
      <x:c r="A242" s="11" t="n">
        <x:v>10237</x:v>
      </x:c>
      <x:c r="B242" s="31" t="n">
        <x:v>59.4</x:v>
      </x:c>
      <x:c r="C242" s="31" t="n">
        <x:v>42.8</x:v>
      </x:c>
      <x:c r="D242" s="11" t="n">
        <x:v>2</x:v>
      </x:c>
      <x:c r="E242" s="11" t="n">
        <x:v>7</x:v>
      </x:c>
      <x:c r="F242" s="11" t="n">
        <x:v>1986</x:v>
      </x:c>
      <x:c r="G242" s="31" t="n">
        <x:v>16</x:v>
      </x:c>
      <x:c r="H242" s="11" t="n">
        <x:v>1271</x:v>
      </x:c>
      <x:c r="I242" s="11" t="n">
        <x:v>2</x:v>
      </x:c>
      <x:c r="J242" s="11" t="n">
        <x:v>700</x:v>
      </x:c>
      <x:c r="K242" s="9" t="str">
        <x:v>Чт</x:v>
      </x:c>
      <x:c r="L242" s="10" t="n">
        <x:v>68.27</x:v>
      </x:c>
      <x:c r="M242" s="31" t="n">
        <x:v>11349.4</x:v>
      </x:c>
    </x:row>
    <x:row r="243" ht="23" customHeight="1">
      <x:c r="A243" s="12" t="n">
        <x:v>10238</x:v>
      </x:c>
      <x:c r="B243" s="32" t="n">
        <x:v>30.7</x:v>
      </x:c>
      <x:c r="C243" s="32" t="n">
        <x:v>19.2</x:v>
      </x:c>
      <x:c r="D243" s="12" t="n">
        <x:v>1</x:v>
      </x:c>
      <x:c r="E243" s="12" t="n">
        <x:v>18</x:v>
      </x:c>
      <x:c r="F243" s="12" t="n">
        <x:v>2020</x:v>
      </x:c>
      <x:c r="G243" s="32" t="n">
        <x:v>13.4</x:v>
      </x:c>
      <x:c r="H243" s="12" t="n">
        <x:v>1026</x:v>
      </x:c>
      <x:c r="I243" s="12" t="n">
        <x:v>9</x:v>
      </x:c>
      <x:c r="J243" s="12" t="n">
        <x:v>548</x:v>
      </x:c>
      <x:c r="K243" s="3" t="str">
        <x:v>Сб</x:v>
      </x:c>
      <x:c r="L243" s="8" t="n">
        <x:v>65.37</x:v>
      </x:c>
      <x:c r="M243" s="32" t="n">
        <x:v>7975.2</x:v>
      </x:c>
    </x:row>
    <x:row r="244" ht="23" customHeight="1">
      <x:c r="A244" s="11" t="n">
        <x:v>10239</x:v>
      </x:c>
      <x:c r="B244" s="31" t="n">
        <x:v>100.3</x:v>
      </x:c>
      <x:c r="C244" s="31" t="n">
        <x:v>70.8</x:v>
      </x:c>
      <x:c r="D244" s="11" t="n">
        <x:v>4</x:v>
      </x:c>
      <x:c r="E244" s="11" t="n">
        <x:v>3</x:v>
      </x:c>
      <x:c r="F244" s="11" t="n">
        <x:v>1988</x:v>
      </x:c>
      <x:c r="G244" s="31" t="n">
        <x:v>15.1</x:v>
      </x:c>
      <x:c r="H244" s="11" t="n">
        <x:v>1187</x:v>
      </x:c>
      <x:c r="I244" s="11" t="n">
        <x:v>8</x:v>
      </x:c>
      <x:c r="J244" s="11" t="n">
        <x:v>892</x:v>
      </x:c>
      <x:c r="K244" s="9" t="str">
        <x:v>Пн</x:v>
      </x:c>
      <x:c r="L244" s="10" t="n">
        <x:v>46.08</x:v>
      </x:c>
      <x:c r="M244" s="31" t="n">
        <x:v>18772.3</x:v>
      </x:c>
    </x:row>
    <x:row r="245" ht="23" customHeight="1">
      <x:c r="A245" s="12" t="n">
        <x:v>10240</x:v>
      </x:c>
      <x:c r="B245" s="32" t="n">
        <x:v>47.8</x:v>
      </x:c>
      <x:c r="C245" s="32" t="n">
        <x:v>30.2</x:v>
      </x:c>
      <x:c r="D245" s="12" t="n">
        <x:v>2</x:v>
      </x:c>
      <x:c r="E245" s="12" t="n">
        <x:v>1</x:v>
      </x:c>
      <x:c r="F245" s="12" t="n">
        <x:v>1995</x:v>
      </x:c>
      <x:c r="G245" s="32" t="n">
        <x:v>10.7</x:v>
      </x:c>
      <x:c r="H245" s="12" t="n">
        <x:v>873</x:v>
      </x:c>
      <x:c r="I245" s="12" t="n">
        <x:v>8</x:v>
      </x:c>
      <x:c r="J245" s="12" t="n">
        <x:v>356</x:v>
      </x:c>
      <x:c r="K245" s="3" t="str">
        <x:v>Вт</x:v>
      </x:c>
      <x:c r="L245" s="8" t="n">
        <x:v>22.38</x:v>
      </x:c>
      <x:c r="M245" s="32" t="n">
        <x:v>9854</x:v>
      </x:c>
    </x:row>
    <x:row r="246" ht="23" customHeight="1">
      <x:c r="A246" s="11" t="n">
        <x:v>10241</x:v>
      </x:c>
      <x:c r="B246" s="31" t="n">
        <x:v>133.3</x:v>
      </x:c>
      <x:c r="C246" s="31" t="n">
        <x:v>81.4</x:v>
      </x:c>
      <x:c r="D246" s="11" t="n">
        <x:v>5</x:v>
      </x:c>
      <x:c r="E246" s="11" t="n">
        <x:v>24</x:v>
      </x:c>
      <x:c r="F246" s="11" t="n">
        <x:v>2017</x:v>
      </x:c>
      <x:c r="G246" s="31" t="n">
        <x:v>8.8</x:v>
      </x:c>
      <x:c r="H246" s="11" t="n">
        <x:v>721</x:v>
      </x:c>
      <x:c r="I246" s="11" t="n">
        <x:v>9</x:v>
      </x:c>
      <x:c r="J246" s="11" t="n">
        <x:v>771</x:v>
      </x:c>
      <x:c r="K246" s="9" t="str">
        <x:v>Пт</x:v>
      </x:c>
      <x:c r="L246" s="10" t="n">
        <x:v>22.05</x:v>
      </x:c>
      <x:c r="M246" s="31" t="n">
        <x:v>27147.3</x:v>
      </x:c>
    </x:row>
    <x:row r="247" ht="23" customHeight="1">
      <x:c r="A247" s="12" t="n">
        <x:v>10242</x:v>
      </x:c>
      <x:c r="B247" s="32" t="n">
        <x:v>134.8</x:v>
      </x:c>
      <x:c r="C247" s="32" t="n">
        <x:v>76.3</x:v>
      </x:c>
      <x:c r="D247" s="12" t="n">
        <x:v>5</x:v>
      </x:c>
      <x:c r="E247" s="12" t="n">
        <x:v>25</x:v>
      </x:c>
      <x:c r="F247" s="12" t="n">
        <x:v>2013</x:v>
      </x:c>
      <x:c r="G247" s="32" t="n">
        <x:v>17.9</x:v>
      </x:c>
      <x:c r="H247" s="12" t="n">
        <x:v>1387</x:v>
      </x:c>
      <x:c r="I247" s="12" t="n">
        <x:v>7</x:v>
      </x:c>
      <x:c r="J247" s="12" t="n">
        <x:v>589</x:v>
      </x:c>
      <x:c r="K247" s="3" t="str">
        <x:v>Сб</x:v>
      </x:c>
      <x:c r="L247" s="8" t="n">
        <x:v>65.27</x:v>
      </x:c>
      <x:c r="M247" s="32" t="n">
        <x:v>26118</x:v>
      </x:c>
    </x:row>
    <x:row r="248" ht="23" customHeight="1">
      <x:c r="A248" s="11" t="n">
        <x:v>10243</x:v>
      </x:c>
      <x:c r="B248" s="31" t="n">
        <x:v>130.5</x:v>
      </x:c>
      <x:c r="C248" s="31" t="n">
        <x:v>85.3</x:v>
      </x:c>
      <x:c r="D248" s="11" t="n">
        <x:v>5</x:v>
      </x:c>
      <x:c r="E248" s="11" t="n">
        <x:v>4</x:v>
      </x:c>
      <x:c r="F248" s="11" t="n">
        <x:v>2013</x:v>
      </x:c>
      <x:c r="G248" s="31" t="n">
        <x:v>10.9</x:v>
      </x:c>
      <x:c r="H248" s="11" t="n">
        <x:v>848</x:v>
      </x:c>
      <x:c r="I248" s="11" t="n">
        <x:v>9</x:v>
      </x:c>
      <x:c r="J248" s="11" t="n">
        <x:v>845</x:v>
      </x:c>
      <x:c r="K248" s="9" t="str">
        <x:v>Сб</x:v>
      </x:c>
      <x:c r="L248" s="10" t="n">
        <x:v>62.66</x:v>
      </x:c>
      <x:c r="M248" s="31" t="n">
        <x:v>25404.1</x:v>
      </x:c>
    </x:row>
    <x:row r="249" ht="23" customHeight="1">
      <x:c r="A249" s="12" t="n">
        <x:v>10244</x:v>
      </x:c>
      <x:c r="B249" s="32" t="n">
        <x:v>69.5</x:v>
      </x:c>
      <x:c r="C249" s="32" t="n">
        <x:v>50.6</x:v>
      </x:c>
      <x:c r="D249" s="12" t="n">
        <x:v>4</x:v>
      </x:c>
      <x:c r="E249" s="12" t="n">
        <x:v>6</x:v>
      </x:c>
      <x:c r="F249" s="12" t="n">
        <x:v>2021</x:v>
      </x:c>
      <x:c r="G249" s="32" t="n">
        <x:v>11.5</x:v>
      </x:c>
      <x:c r="H249" s="12" t="n">
        <x:v>974</x:v>
      </x:c>
      <x:c r="I249" s="12" t="n">
        <x:v>2</x:v>
      </x:c>
      <x:c r="J249" s="12" t="n">
        <x:v>742</x:v>
      </x:c>
      <x:c r="K249" s="3" t="str">
        <x:v>Пн</x:v>
      </x:c>
      <x:c r="L249" s="8" t="n">
        <x:v>40.75</x:v>
      </x:c>
      <x:c r="M249" s="32" t="n">
        <x:v>14891.5</x:v>
      </x:c>
    </x:row>
    <x:row r="250" ht="23" customHeight="1">
      <x:c r="A250" s="11" t="n">
        <x:v>10245</x:v>
      </x:c>
      <x:c r="B250" s="31" t="n">
        <x:v>29.7</x:v>
      </x:c>
      <x:c r="C250" s="31" t="n">
        <x:v>16.8</x:v>
      </x:c>
      <x:c r="D250" s="11" t="n">
        <x:v>1</x:v>
      </x:c>
      <x:c r="E250" s="11" t="n">
        <x:v>9</x:v>
      </x:c>
      <x:c r="F250" s="11" t="n">
        <x:v>2001</x:v>
      </x:c>
      <x:c r="G250" s="31" t="n">
        <x:v>23.7</x:v>
      </x:c>
      <x:c r="H250" s="11" t="n">
        <x:v>1921</x:v>
      </x:c>
      <x:c r="I250" s="11" t="n">
        <x:v>6</x:v>
      </x:c>
      <x:c r="J250" s="11" t="n">
        <x:v>148</x:v>
      </x:c>
      <x:c r="K250" s="9" t="str">
        <x:v>Пт</x:v>
      </x:c>
      <x:c r="L250" s="10" t="n">
        <x:v>28.39</x:v>
      </x:c>
      <x:c r="M250" s="31" t="n">
        <x:v>5337.4</x:v>
      </x:c>
    </x:row>
    <x:row r="251" ht="23" customHeight="1">
      <x:c r="A251" s="12" t="n">
        <x:v>10246</x:v>
      </x:c>
      <x:c r="B251" s="32" t="n">
        <x:v>132</x:v>
      </x:c>
      <x:c r="C251" s="32" t="n">
        <x:v>71.4</x:v>
      </x:c>
      <x:c r="D251" s="12" t="n">
        <x:v>5</x:v>
      </x:c>
      <x:c r="E251" s="12" t="n">
        <x:v>22</x:v>
      </x:c>
      <x:c r="F251" s="12" t="n">
        <x:v>1975</x:v>
      </x:c>
      <x:c r="G251" s="32" t="n">
        <x:v>34</x:v>
      </x:c>
      <x:c r="H251" s="12" t="n">
        <x:v>2824</x:v>
      </x:c>
      <x:c r="I251" s="12" t="n">
        <x:v>3</x:v>
      </x:c>
      <x:c r="J251" s="12" t="n">
        <x:v>758</x:v>
      </x:c>
      <x:c r="K251" s="3" t="str">
        <x:v>Вт</x:v>
      </x:c>
      <x:c r="L251" s="8" t="n">
        <x:v>34.29</x:v>
      </x:c>
      <x:c r="M251" s="32" t="n">
        <x:v>22671.1</x:v>
      </x:c>
    </x:row>
    <x:row r="252" ht="23" customHeight="1">
      <x:c r="A252" s="11" t="n">
        <x:v>10247</x:v>
      </x:c>
      <x:c r="B252" s="31" t="n">
        <x:v>76</x:v>
      </x:c>
      <x:c r="C252" s="31" t="n">
        <x:v>44.9</x:v>
      </x:c>
      <x:c r="D252" s="11" t="n">
        <x:v>3</x:v>
      </x:c>
      <x:c r="E252" s="11" t="n">
        <x:v>14</x:v>
      </x:c>
      <x:c r="F252" s="11" t="n">
        <x:v>2005</x:v>
      </x:c>
      <x:c r="G252" s="31" t="n">
        <x:v>21.9</x:v>
      </x:c>
      <x:c r="H252" s="11" t="n">
        <x:v>1811</x:v>
      </x:c>
      <x:c r="I252" s="11" t="n">
        <x:v>6</x:v>
      </x:c>
      <x:c r="J252" s="11" t="n">
        <x:v>415</x:v>
      </x:c>
      <x:c r="K252" s="9" t="str">
        <x:v>Сб</x:v>
      </x:c>
      <x:c r="L252" s="10" t="n">
        <x:v>52.62</x:v>
      </x:c>
      <x:c r="M252" s="31" t="n">
        <x:v>14268.2</x:v>
      </x:c>
    </x:row>
    <x:row r="253" ht="23" customHeight="1">
      <x:c r="A253" s="12" t="n">
        <x:v>10248</x:v>
      </x:c>
      <x:c r="B253" s="32" t="n">
        <x:v>136.3</x:v>
      </x:c>
      <x:c r="C253" s="32" t="n">
        <x:v>87.1</x:v>
      </x:c>
      <x:c r="D253" s="12" t="n">
        <x:v>5</x:v>
      </x:c>
      <x:c r="E253" s="12" t="n">
        <x:v>12</x:v>
      </x:c>
      <x:c r="F253" s="12" t="n">
        <x:v>2007</x:v>
      </x:c>
      <x:c r="G253" s="32" t="n">
        <x:v>4.5</x:v>
      </x:c>
      <x:c r="H253" s="12" t="n">
        <x:v>417</x:v>
      </x:c>
      <x:c r="I253" s="12" t="n">
        <x:v>3</x:v>
      </x:c>
      <x:c r="J253" s="12" t="n">
        <x:v>512</x:v>
      </x:c>
      <x:c r="K253" s="3" t="str">
        <x:v>Вт</x:v>
      </x:c>
      <x:c r="L253" s="8" t="n">
        <x:v>52.65</x:v>
      </x:c>
      <x:c r="M253" s="32" t="n">
        <x:v>26870.8</x:v>
      </x:c>
    </x:row>
    <x:row r="254" ht="23" customHeight="1">
      <x:c r="A254" s="11" t="n">
        <x:v>10249</x:v>
      </x:c>
      <x:c r="B254" s="31" t="n">
        <x:v>135.9</x:v>
      </x:c>
      <x:c r="C254" s="31" t="n">
        <x:v>83.7</x:v>
      </x:c>
      <x:c r="D254" s="11" t="n">
        <x:v>5</x:v>
      </x:c>
      <x:c r="E254" s="11" t="n">
        <x:v>25</x:v>
      </x:c>
      <x:c r="F254" s="11" t="n">
        <x:v>1980</x:v>
      </x:c>
      <x:c r="G254" s="31" t="n">
        <x:v>4.5</x:v>
      </x:c>
      <x:c r="H254" s="11" t="n">
        <x:v>291</x:v>
      </x:c>
      <x:c r="I254" s="11" t="n">
        <x:v>8</x:v>
      </x:c>
      <x:c r="J254" s="11" t="n">
        <x:v>533</x:v>
      </x:c>
      <x:c r="K254" s="9" t="str">
        <x:v>Чт</x:v>
      </x:c>
      <x:c r="L254" s="10" t="n">
        <x:v>65.64</x:v>
      </x:c>
      <x:c r="M254" s="31" t="n">
        <x:v>25959.7</x:v>
      </x:c>
    </x:row>
    <x:row r="255" ht="23" customHeight="1">
      <x:c r="A255" s="12" t="n">
        <x:v>10250</x:v>
      </x:c>
      <x:c r="B255" s="32" t="n">
        <x:v>123.5</x:v>
      </x:c>
      <x:c r="C255" s="32" t="n">
        <x:v>85</x:v>
      </x:c>
      <x:c r="D255" s="12" t="n">
        <x:v>5</x:v>
      </x:c>
      <x:c r="E255" s="12" t="n">
        <x:v>20</x:v>
      </x:c>
      <x:c r="F255" s="12" t="n">
        <x:v>2002</x:v>
      </x:c>
      <x:c r="G255" s="32" t="n">
        <x:v>33.4</x:v>
      </x:c>
      <x:c r="H255" s="12" t="n">
        <x:v>2710</x:v>
      </x:c>
      <x:c r="I255" s="12" t="n">
        <x:v>4</x:v>
      </x:c>
      <x:c r="J255" s="12" t="n">
        <x:v>101</x:v>
      </x:c>
      <x:c r="K255" s="3" t="str">
        <x:v>Вс</x:v>
      </x:c>
      <x:c r="L255" s="8" t="n">
        <x:v>43.24</x:v>
      </x:c>
      <x:c r="M255" s="32" t="n">
        <x:v>21696.9</x:v>
      </x:c>
    </x:row>
    <x:row r="256" ht="23" customHeight="1">
      <x:c r="A256" s="11" t="n">
        <x:v>10251</x:v>
      </x:c>
      <x:c r="B256" s="31" t="n">
        <x:v>61</x:v>
      </x:c>
      <x:c r="C256" s="31" t="n">
        <x:v>39.2</x:v>
      </x:c>
      <x:c r="D256" s="11" t="n">
        <x:v>2</x:v>
      </x:c>
      <x:c r="E256" s="11" t="n">
        <x:v>24</x:v>
      </x:c>
      <x:c r="F256" s="11" t="n">
        <x:v>1993</x:v>
      </x:c>
      <x:c r="G256" s="31" t="n">
        <x:v>11.8</x:v>
      </x:c>
      <x:c r="H256" s="11" t="n">
        <x:v>941</x:v>
      </x:c>
      <x:c r="I256" s="11" t="n">
        <x:v>6</x:v>
      </x:c>
      <x:c r="J256" s="11" t="n">
        <x:v>940</x:v>
      </x:c>
      <x:c r="K256" s="9" t="str">
        <x:v>Пт</x:v>
      </x:c>
      <x:c r="L256" s="10" t="n">
        <x:v>46.34</x:v>
      </x:c>
      <x:c r="M256" s="31" t="n">
        <x:v>13178.6</x:v>
      </x:c>
    </x:row>
    <x:row r="257" ht="23" customHeight="1">
      <x:c r="A257" s="12" t="n">
        <x:v>10252</x:v>
      </x:c>
      <x:c r="B257" s="32" t="n">
        <x:v>71.1</x:v>
      </x:c>
      <x:c r="C257" s="32" t="n">
        <x:v>42.2</x:v>
      </x:c>
      <x:c r="D257" s="12" t="n">
        <x:v>2</x:v>
      </x:c>
      <x:c r="E257" s="12" t="n">
        <x:v>25</x:v>
      </x:c>
      <x:c r="F257" s="12" t="n">
        <x:v>1992</x:v>
      </x:c>
      <x:c r="G257" s="32" t="n">
        <x:v>5</x:v>
      </x:c>
      <x:c r="H257" s="12" t="n">
        <x:v>372</x:v>
      </x:c>
      <x:c r="I257" s="12" t="n">
        <x:v>9</x:v>
      </x:c>
      <x:c r="J257" s="12" t="n">
        <x:v>244</x:v>
      </x:c>
      <x:c r="K257" s="3" t="str">
        <x:v>Вс</x:v>
      </x:c>
      <x:c r="L257" s="8" t="n">
        <x:v>66.88</x:v>
      </x:c>
      <x:c r="M257" s="32" t="n">
        <x:v>14407.9</x:v>
      </x:c>
    </x:row>
    <x:row r="258" ht="23" customHeight="1">
      <x:c r="A258" s="11" t="n">
        <x:v>10253</x:v>
      </x:c>
      <x:c r="B258" s="31" t="n">
        <x:v>123.3</x:v>
      </x:c>
      <x:c r="C258" s="31" t="n">
        <x:v>76</x:v>
      </x:c>
      <x:c r="D258" s="11" t="n">
        <x:v>4</x:v>
      </x:c>
      <x:c r="E258" s="11" t="n">
        <x:v>4</x:v>
      </x:c>
      <x:c r="F258" s="11" t="n">
        <x:v>1984</x:v>
      </x:c>
      <x:c r="G258" s="31" t="n">
        <x:v>21.8</x:v>
      </x:c>
      <x:c r="H258" s="11" t="n">
        <x:v>1752</x:v>
      </x:c>
      <x:c r="I258" s="11" t="n">
        <x:v>2</x:v>
      </x:c>
      <x:c r="J258" s="11" t="n">
        <x:v>465</x:v>
      </x:c>
      <x:c r="K258" s="9" t="str">
        <x:v>Ср</x:v>
      </x:c>
      <x:c r="L258" s="10" t="n">
        <x:v>18.12</x:v>
      </x:c>
      <x:c r="M258" s="31" t="n">
        <x:v>22496.8</x:v>
      </x:c>
    </x:row>
    <x:row r="259" ht="23" customHeight="1">
      <x:c r="A259" s="12" t="n">
        <x:v>10254</x:v>
      </x:c>
      <x:c r="B259" s="32" t="n">
        <x:v>63.5</x:v>
      </x:c>
      <x:c r="C259" s="32" t="n">
        <x:v>36.1</x:v>
      </x:c>
      <x:c r="D259" s="12" t="n">
        <x:v>2</x:v>
      </x:c>
      <x:c r="E259" s="12" t="n">
        <x:v>21</x:v>
      </x:c>
      <x:c r="F259" s="12" t="n">
        <x:v>1996</x:v>
      </x:c>
      <x:c r="G259" s="32" t="n">
        <x:v>22.6</x:v>
      </x:c>
      <x:c r="H259" s="12" t="n">
        <x:v>1855</x:v>
      </x:c>
      <x:c r="I259" s="12" t="n">
        <x:v>2</x:v>
      </x:c>
      <x:c r="J259" s="12" t="n">
        <x:v>519</x:v>
      </x:c>
      <x:c r="K259" s="3" t="str">
        <x:v>Чт</x:v>
      </x:c>
      <x:c r="L259" s="8" t="n">
        <x:v>54.76</x:v>
      </x:c>
      <x:c r="M259" s="32" t="n">
        <x:v>12357.7</x:v>
      </x:c>
    </x:row>
    <x:row r="260" ht="23" customHeight="1">
      <x:c r="A260" s="11" t="n">
        <x:v>10255</x:v>
      </x:c>
      <x:c r="B260" s="31" t="n">
        <x:v>47</x:v>
      </x:c>
      <x:c r="C260" s="31" t="n">
        <x:v>23.6</x:v>
      </x:c>
      <x:c r="D260" s="11" t="n">
        <x:v>2</x:v>
      </x:c>
      <x:c r="E260" s="11" t="n">
        <x:v>24</x:v>
      </x:c>
      <x:c r="F260" s="11" t="n">
        <x:v>1980</x:v>
      </x:c>
      <x:c r="G260" s="31" t="n">
        <x:v>23.4</x:v>
      </x:c>
      <x:c r="H260" s="11" t="n">
        <x:v>1897</x:v>
      </x:c>
      <x:c r="I260" s="11" t="n">
        <x:v>7</x:v>
      </x:c>
      <x:c r="J260" s="11" t="n">
        <x:v>672</x:v>
      </x:c>
      <x:c r="K260" s="9" t="str">
        <x:v>Пт</x:v>
      </x:c>
      <x:c r="L260" s="10" t="n">
        <x:v>44.99</x:v>
      </x:c>
      <x:c r="M260" s="31" t="n">
        <x:v>8321.1</x:v>
      </x:c>
    </x:row>
    <x:row r="261" ht="23" customHeight="1">
      <x:c r="A261" s="12" t="n">
        <x:v>10256</x:v>
      </x:c>
      <x:c r="B261" s="32" t="n">
        <x:v>90.4</x:v>
      </x:c>
      <x:c r="C261" s="32" t="n">
        <x:v>54.8</x:v>
      </x:c>
      <x:c r="D261" s="12" t="n">
        <x:v>5</x:v>
      </x:c>
      <x:c r="E261" s="12" t="n">
        <x:v>12</x:v>
      </x:c>
      <x:c r="F261" s="12" t="n">
        <x:v>2020</x:v>
      </x:c>
      <x:c r="G261" s="32" t="n">
        <x:v>10.8</x:v>
      </x:c>
      <x:c r="H261" s="12" t="n">
        <x:v>820</x:v>
      </x:c>
      <x:c r="I261" s="12" t="n">
        <x:v>2</x:v>
      </x:c>
      <x:c r="J261" s="12" t="n">
        <x:v>884</x:v>
      </x:c>
      <x:c r="K261" s="3" t="str">
        <x:v>Пн</x:v>
      </x:c>
      <x:c r="L261" s="8" t="n">
        <x:v>60.69</x:v>
      </x:c>
      <x:c r="M261" s="32" t="n">
        <x:v>18678.1</x:v>
      </x:c>
    </x:row>
    <x:row r="262" ht="23" customHeight="1">
      <x:c r="A262" s="11" t="n">
        <x:v>10257</x:v>
      </x:c>
      <x:c r="B262" s="31" t="n">
        <x:v>132.8</x:v>
      </x:c>
      <x:c r="C262" s="31" t="n">
        <x:v>82.5</x:v>
      </x:c>
      <x:c r="D262" s="11" t="n">
        <x:v>5</x:v>
      </x:c>
      <x:c r="E262" s="11" t="n">
        <x:v>10</x:v>
      </x:c>
      <x:c r="F262" s="11" t="n">
        <x:v>2019</x:v>
      </x:c>
      <x:c r="G262" s="31" t="n">
        <x:v>2.5</x:v>
      </x:c>
      <x:c r="H262" s="11" t="n">
        <x:v>237</x:v>
      </x:c>
      <x:c r="I262" s="11" t="n">
        <x:v>2</x:v>
      </x:c>
      <x:c r="J262" s="11" t="n">
        <x:v>660</x:v>
      </x:c>
      <x:c r="K262" s="9" t="str">
        <x:v>Вс</x:v>
      </x:c>
      <x:c r="L262" s="10" t="n">
        <x:v>57.69</x:v>
      </x:c>
      <x:c r="M262" s="31" t="n">
        <x:v>25909.9</x:v>
      </x:c>
    </x:row>
    <x:row r="263" ht="23" customHeight="1">
      <x:c r="A263" s="12" t="n">
        <x:v>10258</x:v>
      </x:c>
      <x:c r="B263" s="32" t="n">
        <x:v>106</x:v>
      </x:c>
      <x:c r="C263" s="32" t="n">
        <x:v>68.9</x:v>
      </x:c>
      <x:c r="D263" s="12" t="n">
        <x:v>4</x:v>
      </x:c>
      <x:c r="E263" s="12" t="n">
        <x:v>22</x:v>
      </x:c>
      <x:c r="F263" s="12" t="n">
        <x:v>1986</x:v>
      </x:c>
      <x:c r="G263" s="32" t="n">
        <x:v>33.8</x:v>
      </x:c>
      <x:c r="H263" s="12" t="n">
        <x:v>2672</x:v>
      </x:c>
      <x:c r="I263" s="12" t="n">
        <x:v>4</x:v>
      </x:c>
      <x:c r="J263" s="12" t="n">
        <x:v>943</x:v>
      </x:c>
      <x:c r="K263" s="3" t="str">
        <x:v>Пн</x:v>
      </x:c>
      <x:c r="L263" s="8" t="n">
        <x:v>39.56</x:v>
      </x:c>
      <x:c r="M263" s="32" t="n">
        <x:v>17617.3</x:v>
      </x:c>
    </x:row>
    <x:row r="264" ht="23" customHeight="1">
      <x:c r="A264" s="11" t="n">
        <x:v>10259</x:v>
      </x:c>
      <x:c r="B264" s="31" t="n">
        <x:v>91.8</x:v>
      </x:c>
      <x:c r="C264" s="31" t="n">
        <x:v>58.9</x:v>
      </x:c>
      <x:c r="D264" s="11" t="n">
        <x:v>4</x:v>
      </x:c>
      <x:c r="E264" s="11" t="n">
        <x:v>7</x:v>
      </x:c>
      <x:c r="F264" s="11" t="n">
        <x:v>2020</x:v>
      </x:c>
      <x:c r="G264" s="31" t="n">
        <x:v>10.3</x:v>
      </x:c>
      <x:c r="H264" s="11" t="n">
        <x:v>835</x:v>
      </x:c>
      <x:c r="I264" s="11" t="n">
        <x:v>9</x:v>
      </x:c>
      <x:c r="J264" s="11" t="n">
        <x:v>543</x:v>
      </x:c>
      <x:c r="K264" s="9" t="str">
        <x:v>Вт</x:v>
      </x:c>
      <x:c r="L264" s="10" t="n">
        <x:v>42.39</x:v>
      </x:c>
      <x:c r="M264" s="31" t="n">
        <x:v>18817.2</x:v>
      </x:c>
    </x:row>
    <x:row r="265" ht="23" customHeight="1">
      <x:c r="A265" s="12" t="n">
        <x:v>10260</x:v>
      </x:c>
      <x:c r="B265" s="32" t="n">
        <x:v>38.9</x:v>
      </x:c>
      <x:c r="C265" s="32" t="n">
        <x:v>21.6</x:v>
      </x:c>
      <x:c r="D265" s="12" t="n">
        <x:v>2</x:v>
      </x:c>
      <x:c r="E265" s="12" t="n">
        <x:v>3</x:v>
      </x:c>
      <x:c r="F265" s="12" t="n">
        <x:v>2022</x:v>
      </x:c>
      <x:c r="G265" s="32" t="n">
        <x:v>24.3</x:v>
      </x:c>
      <x:c r="H265" s="12" t="n">
        <x:v>1929</x:v>
      </x:c>
      <x:c r="I265" s="12" t="n">
        <x:v>8</x:v>
      </x:c>
      <x:c r="J265" s="12" t="n">
        <x:v>533</x:v>
      </x:c>
      <x:c r="K265" s="3" t="str">
        <x:v>Сб</x:v>
      </x:c>
      <x:c r="L265" s="8" t="n">
        <x:v>15.47</x:v>
      </x:c>
      <x:c r="M265" s="32" t="n">
        <x:v>8478.2</x:v>
      </x:c>
    </x:row>
    <x:row r="266" ht="23" customHeight="1">
      <x:c r="A266" s="11" t="n">
        <x:v>10261</x:v>
      </x:c>
      <x:c r="B266" s="31" t="n">
        <x:v>96.9</x:v>
      </x:c>
      <x:c r="C266" s="31" t="n">
        <x:v>58.5</x:v>
      </x:c>
      <x:c r="D266" s="11" t="n">
        <x:v>5</x:v>
      </x:c>
      <x:c r="E266" s="11" t="n">
        <x:v>23</x:v>
      </x:c>
      <x:c r="F266" s="11" t="n">
        <x:v>1983</x:v>
      </x:c>
      <x:c r="G266" s="31" t="n">
        <x:v>25.3</x:v>
      </x:c>
      <x:c r="H266" s="11" t="n">
        <x:v>2013</x:v>
      </x:c>
      <x:c r="I266" s="11" t="n">
        <x:v>2</x:v>
      </x:c>
      <x:c r="J266" s="11" t="n">
        <x:v>742</x:v>
      </x:c>
      <x:c r="K266" s="9" t="str">
        <x:v>Вс</x:v>
      </x:c>
      <x:c r="L266" s="10" t="n">
        <x:v>61.25</x:v>
      </x:c>
      <x:c r="M266" s="31" t="n">
        <x:v>17665.8</x:v>
      </x:c>
    </x:row>
    <x:row r="267" ht="23" customHeight="1">
      <x:c r="A267" s="12" t="n">
        <x:v>10262</x:v>
      </x:c>
      <x:c r="B267" s="32" t="n">
        <x:v>138.9</x:v>
      </x:c>
      <x:c r="C267" s="32" t="n">
        <x:v>78.2</x:v>
      </x:c>
      <x:c r="D267" s="12" t="n">
        <x:v>5</x:v>
      </x:c>
      <x:c r="E267" s="12" t="n">
        <x:v>14</x:v>
      </x:c>
      <x:c r="F267" s="12" t="n">
        <x:v>1996</x:v>
      </x:c>
      <x:c r="G267" s="32" t="n">
        <x:v>22.1</x:v>
      </x:c>
      <x:c r="H267" s="12" t="n">
        <x:v>1806</x:v>
      </x:c>
      <x:c r="I267" s="12" t="n">
        <x:v>8</x:v>
      </x:c>
      <x:c r="J267" s="12" t="n">
        <x:v>654</x:v>
      </x:c>
      <x:c r="K267" s="3" t="str">
        <x:v>Ср</x:v>
      </x:c>
      <x:c r="L267" s="8" t="n">
        <x:v>53.6</x:v>
      </x:c>
      <x:c r="M267" s="32" t="n">
        <x:v>26074.9</x:v>
      </x:c>
    </x:row>
    <x:row r="268" ht="23" customHeight="1">
      <x:c r="A268" s="11" t="n">
        <x:v>10263</x:v>
      </x:c>
      <x:c r="B268" s="31" t="n">
        <x:v>43.7</x:v>
      </x:c>
      <x:c r="C268" s="31" t="n">
        <x:v>24</x:v>
      </x:c>
      <x:c r="D268" s="11" t="n">
        <x:v>2</x:v>
      </x:c>
      <x:c r="E268" s="11" t="n">
        <x:v>24</x:v>
      </x:c>
      <x:c r="F268" s="11" t="n">
        <x:v>1987</x:v>
      </x:c>
      <x:c r="G268" s="31" t="n">
        <x:v>12.3</x:v>
      </x:c>
      <x:c r="H268" s="11" t="n">
        <x:v>932</x:v>
      </x:c>
      <x:c r="I268" s="11" t="n">
        <x:v>4</x:v>
      </x:c>
      <x:c r="J268" s="11" t="n">
        <x:v>156</x:v>
      </x:c>
      <x:c r="K268" s="9" t="str">
        <x:v>Пн</x:v>
      </x:c>
      <x:c r="L268" s="10" t="n">
        <x:v>70.98</x:v>
      </x:c>
      <x:c r="M268" s="31" t="n">
        <x:v>9346.5</x:v>
      </x:c>
    </x:row>
    <x:row r="269" ht="23" customHeight="1">
      <x:c r="A269" s="12" t="n">
        <x:v>10264</x:v>
      </x:c>
      <x:c r="B269" s="32" t="n">
        <x:v>86.1</x:v>
      </x:c>
      <x:c r="C269" s="32" t="n">
        <x:v>58.8</x:v>
      </x:c>
      <x:c r="D269" s="12" t="n">
        <x:v>4</x:v>
      </x:c>
      <x:c r="E269" s="12" t="n">
        <x:v>10</x:v>
      </x:c>
      <x:c r="F269" s="12" t="n">
        <x:v>1997</x:v>
      </x:c>
      <x:c r="G269" s="32" t="n">
        <x:v>10.9</x:v>
      </x:c>
      <x:c r="H269" s="12" t="n">
        <x:v>969</x:v>
      </x:c>
      <x:c r="I269" s="12" t="n">
        <x:v>2</x:v>
      </x:c>
      <x:c r="J269" s="12" t="n">
        <x:v>661</x:v>
      </x:c>
      <x:c r="K269" s="3" t="str">
        <x:v>Пт</x:v>
      </x:c>
      <x:c r="L269" s="8" t="n">
        <x:v>44.01</x:v>
      </x:c>
      <x:c r="M269" s="32" t="n">
        <x:v>17039.5</x:v>
      </x:c>
    </x:row>
    <x:row r="270" ht="23" customHeight="1">
      <x:c r="A270" s="11" t="n">
        <x:v>10265</x:v>
      </x:c>
      <x:c r="B270" s="31" t="n">
        <x:v>126.3</x:v>
      </x:c>
      <x:c r="C270" s="31" t="n">
        <x:v>70.7</x:v>
      </x:c>
      <x:c r="D270" s="11" t="n">
        <x:v>5</x:v>
      </x:c>
      <x:c r="E270" s="11" t="n">
        <x:v>16</x:v>
      </x:c>
      <x:c r="F270" s="11" t="n">
        <x:v>2020</x:v>
      </x:c>
      <x:c r="G270" s="31" t="n">
        <x:v>21.7</x:v>
      </x:c>
      <x:c r="H270" s="11" t="n">
        <x:v>1645</x:v>
      </x:c>
      <x:c r="I270" s="11" t="n">
        <x:v>7</x:v>
      </x:c>
      <x:c r="J270" s="11" t="n">
        <x:v>277</x:v>
      </x:c>
      <x:c r="K270" s="9" t="str">
        <x:v>Вс</x:v>
      </x:c>
      <x:c r="L270" s="10" t="n">
        <x:v>63.72</x:v>
      </x:c>
      <x:c r="M270" s="31" t="n">
        <x:v>23890.3</x:v>
      </x:c>
    </x:row>
    <x:row r="271" ht="23" customHeight="1">
      <x:c r="A271" s="12" t="n">
        <x:v>10266</x:v>
      </x:c>
      <x:c r="B271" s="32" t="n">
        <x:v>111</x:v>
      </x:c>
      <x:c r="C271" s="32" t="n">
        <x:v>68.3</x:v>
      </x:c>
      <x:c r="D271" s="12" t="n">
        <x:v>5</x:v>
      </x:c>
      <x:c r="E271" s="12" t="n">
        <x:v>16</x:v>
      </x:c>
      <x:c r="F271" s="12" t="n">
        <x:v>2016</x:v>
      </x:c>
      <x:c r="G271" s="32" t="n">
        <x:v>30.6</x:v>
      </x:c>
      <x:c r="H271" s="12" t="n">
        <x:v>2418</x:v>
      </x:c>
      <x:c r="I271" s="12" t="n">
        <x:v>6</x:v>
      </x:c>
      <x:c r="J271" s="12" t="n">
        <x:v>392</x:v>
      </x:c>
      <x:c r="K271" s="3" t="str">
        <x:v>Вс</x:v>
      </x:c>
      <x:c r="L271" s="8" t="n">
        <x:v>33.95</x:v>
      </x:c>
      <x:c r="M271" s="32" t="n">
        <x:v>19636.2</x:v>
      </x:c>
    </x:row>
    <x:row r="272" ht="23" customHeight="1">
      <x:c r="A272" s="11" t="n">
        <x:v>10267</x:v>
      </x:c>
      <x:c r="B272" s="31" t="n">
        <x:v>106.1</x:v>
      </x:c>
      <x:c r="C272" s="31" t="n">
        <x:v>59.5</x:v>
      </x:c>
      <x:c r="D272" s="11" t="n">
        <x:v>5</x:v>
      </x:c>
      <x:c r="E272" s="11" t="n">
        <x:v>22</x:v>
      </x:c>
      <x:c r="F272" s="11" t="n">
        <x:v>2016</x:v>
      </x:c>
      <x:c r="G272" s="31" t="n">
        <x:v>33.2</x:v>
      </x:c>
      <x:c r="H272" s="11" t="n">
        <x:v>2675</x:v>
      </x:c>
      <x:c r="I272" s="11" t="n">
        <x:v>5</x:v>
      </x:c>
      <x:c r="J272" s="11" t="n">
        <x:v>145</x:v>
      </x:c>
      <x:c r="K272" s="9" t="str">
        <x:v>Сб</x:v>
      </x:c>
      <x:c r="L272" s="10" t="n">
        <x:v>9.43</x:v>
      </x:c>
      <x:c r="M272" s="31" t="n">
        <x:v>19150.9</x:v>
      </x:c>
    </x:row>
    <x:row r="273" ht="23" customHeight="1">
      <x:c r="A273" s="12" t="n">
        <x:v>10268</x:v>
      </x:c>
      <x:c r="B273" s="32" t="n">
        <x:v>106.7</x:v>
      </x:c>
      <x:c r="C273" s="32" t="n">
        <x:v>72.5</x:v>
      </x:c>
      <x:c r="D273" s="12" t="n">
        <x:v>4</x:v>
      </x:c>
      <x:c r="E273" s="12" t="n">
        <x:v>10</x:v>
      </x:c>
      <x:c r="F273" s="12" t="n">
        <x:v>1973</x:v>
      </x:c>
      <x:c r="G273" s="32" t="n">
        <x:v>5.5</x:v>
      </x:c>
      <x:c r="H273" s="12" t="n">
        <x:v>469</x:v>
      </x:c>
      <x:c r="I273" s="12" t="n">
        <x:v>1</x:v>
      </x:c>
      <x:c r="J273" s="12" t="n">
        <x:v>269</x:v>
      </x:c>
      <x:c r="K273" s="3" t="str">
        <x:v>Сб</x:v>
      </x:c>
      <x:c r="L273" s="8" t="n">
        <x:v>48.58</x:v>
      </x:c>
      <x:c r="M273" s="32" t="n">
        <x:v>19892.5</x:v>
      </x:c>
    </x:row>
    <x:row r="274" ht="23" customHeight="1">
      <x:c r="A274" s="11" t="n">
        <x:v>10269</x:v>
      </x:c>
      <x:c r="B274" s="31" t="n">
        <x:v>68.3</x:v>
      </x:c>
      <x:c r="C274" s="31" t="n">
        <x:v>40</x:v>
      </x:c>
      <x:c r="D274" s="11" t="n">
        <x:v>3</x:v>
      </x:c>
      <x:c r="E274" s="11" t="n">
        <x:v>25</x:v>
      </x:c>
      <x:c r="F274" s="11" t="n">
        <x:v>1976</x:v>
      </x:c>
      <x:c r="G274" s="31" t="n">
        <x:v>7.1</x:v>
      </x:c>
      <x:c r="H274" s="11" t="n">
        <x:v>563</x:v>
      </x:c>
      <x:c r="I274" s="11" t="n">
        <x:v>2</x:v>
      </x:c>
      <x:c r="J274" s="11" t="n">
        <x:v>370</x:v>
      </x:c>
      <x:c r="K274" s="9" t="str">
        <x:v>Пт</x:v>
      </x:c>
      <x:c r="L274" s="10" t="n">
        <x:v>41.5</x:v>
      </x:c>
      <x:c r="M274" s="31" t="n">
        <x:v>13986.9</x:v>
      </x:c>
    </x:row>
    <x:row r="275" ht="23" customHeight="1">
      <x:c r="A275" s="12" t="n">
        <x:v>10270</x:v>
      </x:c>
      <x:c r="B275" s="32" t="n">
        <x:v>60.9</x:v>
      </x:c>
      <x:c r="C275" s="32" t="n">
        <x:v>35.9</x:v>
      </x:c>
      <x:c r="D275" s="12" t="n">
        <x:v>3</x:v>
      </x:c>
      <x:c r="E275" s="12" t="n">
        <x:v>13</x:v>
      </x:c>
      <x:c r="F275" s="12" t="n">
        <x:v>2014</x:v>
      </x:c>
      <x:c r="G275" s="32" t="n">
        <x:v>33.2</x:v>
      </x:c>
      <x:c r="H275" s="12" t="n">
        <x:v>2653</x:v>
      </x:c>
      <x:c r="I275" s="12" t="n">
        <x:v>8</x:v>
      </x:c>
      <x:c r="J275" s="12" t="n">
        <x:v>516</x:v>
      </x:c>
      <x:c r="K275" s="3" t="str">
        <x:v>Сб</x:v>
      </x:c>
      <x:c r="L275" s="8" t="n">
        <x:v>34.24</x:v>
      </x:c>
      <x:c r="M275" s="32" t="n">
        <x:v>11477.3</x:v>
      </x:c>
    </x:row>
    <x:row r="276" ht="23" customHeight="1">
      <x:c r="A276" s="11" t="n">
        <x:v>10271</x:v>
      </x:c>
      <x:c r="B276" s="31" t="n">
        <x:v>118.6</x:v>
      </x:c>
      <x:c r="C276" s="31" t="n">
        <x:v>76.3</x:v>
      </x:c>
      <x:c r="D276" s="11" t="n">
        <x:v>5</x:v>
      </x:c>
      <x:c r="E276" s="11" t="n">
        <x:v>6</x:v>
      </x:c>
      <x:c r="F276" s="11" t="n">
        <x:v>2004</x:v>
      </x:c>
      <x:c r="G276" s="31" t="n">
        <x:v>26.3</x:v>
      </x:c>
      <x:c r="H276" s="11" t="n">
        <x:v>2125</x:v>
      </x:c>
      <x:c r="I276" s="11" t="n">
        <x:v>1</x:v>
      </x:c>
      <x:c r="J276" s="11" t="n">
        <x:v>947</x:v>
      </x:c>
      <x:c r="K276" s="9" t="str">
        <x:v>Пн</x:v>
      </x:c>
      <x:c r="L276" s="10" t="n">
        <x:v>63.47</x:v>
      </x:c>
      <x:c r="M276" s="31" t="n">
        <x:v>21506.2</x:v>
      </x:c>
    </x:row>
    <x:row r="277" ht="23" customHeight="1">
      <x:c r="A277" s="12" t="n">
        <x:v>10272</x:v>
      </x:c>
      <x:c r="B277" s="32" t="n">
        <x:v>118.7</x:v>
      </x:c>
      <x:c r="C277" s="32" t="n">
        <x:v>76.1</x:v>
      </x:c>
      <x:c r="D277" s="12" t="n">
        <x:v>5</x:v>
      </x:c>
      <x:c r="E277" s="12" t="n">
        <x:v>12</x:v>
      </x:c>
      <x:c r="F277" s="12" t="n">
        <x:v>2017</x:v>
      </x:c>
      <x:c r="G277" s="32" t="n">
        <x:v>31.1</x:v>
      </x:c>
      <x:c r="H277" s="12" t="n">
        <x:v>2476</x:v>
      </x:c>
      <x:c r="I277" s="12" t="n">
        <x:v>3</x:v>
      </x:c>
      <x:c r="J277" s="12" t="n">
        <x:v>238</x:v>
      </x:c>
      <x:c r="K277" s="3" t="str">
        <x:v>Пт</x:v>
      </x:c>
      <x:c r="L277" s="8" t="n">
        <x:v>68.12</x:v>
      </x:c>
      <x:c r="M277" s="32" t="n">
        <x:v>21411.6</x:v>
      </x:c>
    </x:row>
    <x:row r="278" ht="23" customHeight="1">
      <x:c r="A278" s="11" t="n">
        <x:v>10273</x:v>
      </x:c>
      <x:c r="B278" s="31" t="n">
        <x:v>125.1</x:v>
      </x:c>
      <x:c r="C278" s="31" t="n">
        <x:v>85.9</x:v>
      </x:c>
      <x:c r="D278" s="11" t="n">
        <x:v>5</x:v>
      </x:c>
      <x:c r="E278" s="11" t="n">
        <x:v>9</x:v>
      </x:c>
      <x:c r="F278" s="11" t="n">
        <x:v>1978</x:v>
      </x:c>
      <x:c r="G278" s="31" t="n">
        <x:v>8.7</x:v>
      </x:c>
      <x:c r="H278" s="11" t="n">
        <x:v>766</x:v>
      </x:c>
      <x:c r="I278" s="11" t="n">
        <x:v>2</x:v>
      </x:c>
      <x:c r="J278" s="11" t="n">
        <x:v>346</x:v>
      </x:c>
      <x:c r="K278" s="9" t="str">
        <x:v>Пт</x:v>
      </x:c>
      <x:c r="L278" s="10" t="n">
        <x:v>51.58</x:v>
      </x:c>
      <x:c r="M278" s="31" t="n">
        <x:v>22214</x:v>
      </x:c>
    </x:row>
    <x:row r="279" ht="23" customHeight="1">
      <x:c r="A279" s="12" t="n">
        <x:v>10274</x:v>
      </x:c>
      <x:c r="B279" s="32" t="n">
        <x:v>130.3</x:v>
      </x:c>
      <x:c r="C279" s="32" t="n">
        <x:v>76.5</x:v>
      </x:c>
      <x:c r="D279" s="12" t="n">
        <x:v>5</x:v>
      </x:c>
      <x:c r="E279" s="12" t="n">
        <x:v>13</x:v>
      </x:c>
      <x:c r="F279" s="12" t="n">
        <x:v>1977</x:v>
      </x:c>
      <x:c r="G279" s="32" t="n">
        <x:v>21.4</x:v>
      </x:c>
      <x:c r="H279" s="12" t="n">
        <x:v>1754</x:v>
      </x:c>
      <x:c r="I279" s="12" t="n">
        <x:v>5</x:v>
      </x:c>
      <x:c r="J279" s="12" t="n">
        <x:v>247</x:v>
      </x:c>
      <x:c r="K279" s="3" t="str">
        <x:v>Вт</x:v>
      </x:c>
      <x:c r="L279" s="8" t="n">
        <x:v>47.26</x:v>
      </x:c>
      <x:c r="M279" s="32" t="n">
        <x:v>21979.7</x:v>
      </x:c>
    </x:row>
    <x:row r="280" ht="23" customHeight="1">
      <x:c r="A280" s="11" t="n">
        <x:v>10275</x:v>
      </x:c>
      <x:c r="B280" s="31" t="n">
        <x:v>85.3</x:v>
      </x:c>
      <x:c r="C280" s="31" t="n">
        <x:v>60.1</x:v>
      </x:c>
      <x:c r="D280" s="11" t="n">
        <x:v>4</x:v>
      </x:c>
      <x:c r="E280" s="11" t="n">
        <x:v>4</x:v>
      </x:c>
      <x:c r="F280" s="11" t="n">
        <x:v>2021</x:v>
      </x:c>
      <x:c r="G280" s="31" t="n">
        <x:v>25.1</x:v>
      </x:c>
      <x:c r="H280" s="11" t="n">
        <x:v>2052</x:v>
      </x:c>
      <x:c r="I280" s="11" t="n">
        <x:v>4</x:v>
      </x:c>
      <x:c r="J280" s="11" t="n">
        <x:v>329</x:v>
      </x:c>
      <x:c r="K280" s="9" t="str">
        <x:v>Ср</x:v>
      </x:c>
      <x:c r="L280" s="10" t="n">
        <x:v>50.94</x:v>
      </x:c>
      <x:c r="M280" s="31" t="n">
        <x:v>15669.3</x:v>
      </x:c>
    </x:row>
    <x:row r="281" ht="23" customHeight="1">
      <x:c r="A281" s="12" t="n">
        <x:v>10276</x:v>
      </x:c>
      <x:c r="B281" s="32" t="n">
        <x:v>84.2</x:v>
      </x:c>
      <x:c r="C281" s="32" t="n">
        <x:v>57.4</x:v>
      </x:c>
      <x:c r="D281" s="12" t="n">
        <x:v>4</x:v>
      </x:c>
      <x:c r="E281" s="12" t="n">
        <x:v>24</x:v>
      </x:c>
      <x:c r="F281" s="12" t="n">
        <x:v>2014</x:v>
      </x:c>
      <x:c r="G281" s="32" t="n">
        <x:v>24.4</x:v>
      </x:c>
      <x:c r="H281" s="12" t="n">
        <x:v>1904</x:v>
      </x:c>
      <x:c r="I281" s="12" t="n">
        <x:v>7</x:v>
      </x:c>
      <x:c r="J281" s="12" t="n">
        <x:v>891</x:v>
      </x:c>
      <x:c r="K281" s="3" t="str">
        <x:v>Вс</x:v>
      </x:c>
      <x:c r="L281" s="8" t="n">
        <x:v>40.21</x:v>
      </x:c>
      <x:c r="M281" s="32" t="n">
        <x:v>16245.6</x:v>
      </x:c>
    </x:row>
    <x:row r="282" ht="23" customHeight="1">
      <x:c r="A282" s="11" t="n">
        <x:v>10277</x:v>
      </x:c>
      <x:c r="B282" s="31" t="n">
        <x:v>117.4</x:v>
      </x:c>
      <x:c r="C282" s="31" t="n">
        <x:v>79.7</x:v>
      </x:c>
      <x:c r="D282" s="11" t="n">
        <x:v>5</x:v>
      </x:c>
      <x:c r="E282" s="11" t="n">
        <x:v>11</x:v>
      </x:c>
      <x:c r="F282" s="11" t="n">
        <x:v>1986</x:v>
      </x:c>
      <x:c r="G282" s="31" t="n">
        <x:v>15.5</x:v>
      </x:c>
      <x:c r="H282" s="11" t="n">
        <x:v>1236</x:v>
      </x:c>
      <x:c r="I282" s="11" t="n">
        <x:v>5</x:v>
      </x:c>
      <x:c r="J282" s="11" t="n">
        <x:v>736</x:v>
      </x:c>
      <x:c r="K282" s="9" t="str">
        <x:v>Вт</x:v>
      </x:c>
      <x:c r="L282" s="10" t="n">
        <x:v>58.44</x:v>
      </x:c>
      <x:c r="M282" s="31" t="n">
        <x:v>21959.8</x:v>
      </x:c>
    </x:row>
    <x:row r="283" ht="23" customHeight="1">
      <x:c r="A283" s="12" t="n">
        <x:v>10278</x:v>
      </x:c>
      <x:c r="B283" s="32" t="n">
        <x:v>100.8</x:v>
      </x:c>
      <x:c r="C283" s="32" t="n">
        <x:v>62.1</x:v>
      </x:c>
      <x:c r="D283" s="12" t="n">
        <x:v>4</x:v>
      </x:c>
      <x:c r="E283" s="12" t="n">
        <x:v>20</x:v>
      </x:c>
      <x:c r="F283" s="12" t="n">
        <x:v>1986</x:v>
      </x:c>
      <x:c r="G283" s="32" t="n">
        <x:v>2.5</x:v>
      </x:c>
      <x:c r="H283" s="12" t="n">
        <x:v>185</x:v>
      </x:c>
      <x:c r="I283" s="12" t="n">
        <x:v>8</x:v>
      </x:c>
      <x:c r="J283" s="12" t="n">
        <x:v>803</x:v>
      </x:c>
      <x:c r="K283" s="3" t="str">
        <x:v>Ср</x:v>
      </x:c>
      <x:c r="L283" s="8" t="n">
        <x:v>26.91</x:v>
      </x:c>
      <x:c r="M283" s="32" t="n">
        <x:v>20457.7</x:v>
      </x:c>
    </x:row>
    <x:row r="284" ht="23" customHeight="1">
      <x:c r="A284" s="11" t="n">
        <x:v>10279</x:v>
      </x:c>
      <x:c r="B284" s="31" t="n">
        <x:v>106.6</x:v>
      </x:c>
      <x:c r="C284" s="31" t="n">
        <x:v>68.9</x:v>
      </x:c>
      <x:c r="D284" s="11" t="n">
        <x:v>5</x:v>
      </x:c>
      <x:c r="E284" s="11" t="n">
        <x:v>18</x:v>
      </x:c>
      <x:c r="F284" s="11" t="n">
        <x:v>2018</x:v>
      </x:c>
      <x:c r="G284" s="31" t="n">
        <x:v>21.2</x:v>
      </x:c>
      <x:c r="H284" s="11" t="n">
        <x:v>1646</x:v>
      </x:c>
      <x:c r="I284" s="11" t="n">
        <x:v>4</x:v>
      </x:c>
      <x:c r="J284" s="11" t="n">
        <x:v>473</x:v>
      </x:c>
      <x:c r="K284" s="9" t="str">
        <x:v>Пт</x:v>
      </x:c>
      <x:c r="L284" s="10" t="n">
        <x:v>33.9</x:v>
      </x:c>
      <x:c r="M284" s="31" t="n">
        <x:v>21018.2</x:v>
      </x:c>
    </x:row>
    <x:row r="285" ht="23" customHeight="1">
      <x:c r="A285" s="12" t="n">
        <x:v>10280</x:v>
      </x:c>
      <x:c r="B285" s="32" t="n">
        <x:v>117.1</x:v>
      </x:c>
      <x:c r="C285" s="32" t="n">
        <x:v>74.6</x:v>
      </x:c>
      <x:c r="D285" s="12" t="n">
        <x:v>4</x:v>
      </x:c>
      <x:c r="E285" s="12" t="n">
        <x:v>11</x:v>
      </x:c>
      <x:c r="F285" s="12" t="n">
        <x:v>2002</x:v>
      </x:c>
      <x:c r="G285" s="32" t="n">
        <x:v>10.4</x:v>
      </x:c>
      <x:c r="H285" s="12" t="n">
        <x:v>850</x:v>
      </x:c>
      <x:c r="I285" s="12" t="n">
        <x:v>6</x:v>
      </x:c>
      <x:c r="J285" s="12" t="n">
        <x:v>179</x:v>
      </x:c>
      <x:c r="K285" s="3" t="str">
        <x:v>Вс</x:v>
      </x:c>
      <x:c r="L285" s="8" t="n">
        <x:v>38.13</x:v>
      </x:c>
      <x:c r="M285" s="32" t="n">
        <x:v>22432.7</x:v>
      </x:c>
    </x:row>
    <x:row r="286" ht="23" customHeight="1">
      <x:c r="A286" s="11" t="n">
        <x:v>10281</x:v>
      </x:c>
      <x:c r="B286" s="31" t="n">
        <x:v>127.7</x:v>
      </x:c>
      <x:c r="C286" s="31" t="n">
        <x:v>85.1</x:v>
      </x:c>
      <x:c r="D286" s="11" t="n">
        <x:v>5</x:v>
      </x:c>
      <x:c r="E286" s="11" t="n">
        <x:v>25</x:v>
      </x:c>
      <x:c r="F286" s="11" t="n">
        <x:v>2001</x:v>
      </x:c>
      <x:c r="G286" s="31" t="n">
        <x:v>16.9</x:v>
      </x:c>
      <x:c r="H286" s="11" t="n">
        <x:v>1325</x:v>
      </x:c>
      <x:c r="I286" s="11" t="n">
        <x:v>4</x:v>
      </x:c>
      <x:c r="J286" s="11" t="n">
        <x:v>705</x:v>
      </x:c>
      <x:c r="K286" s="9" t="str">
        <x:v>Сб</x:v>
      </x:c>
      <x:c r="L286" s="10" t="n">
        <x:v>58.12</x:v>
      </x:c>
      <x:c r="M286" s="31" t="n">
        <x:v>24651.9</x:v>
      </x:c>
    </x:row>
    <x:row r="287" ht="23" customHeight="1">
      <x:c r="A287" s="12" t="n">
        <x:v>10282</x:v>
      </x:c>
      <x:c r="B287" s="32" t="n">
        <x:v>65.9</x:v>
      </x:c>
      <x:c r="C287" s="32" t="n">
        <x:v>41.5</x:v>
      </x:c>
      <x:c r="D287" s="12" t="n">
        <x:v>2</x:v>
      </x:c>
      <x:c r="E287" s="12" t="n">
        <x:v>21</x:v>
      </x:c>
      <x:c r="F287" s="12" t="n">
        <x:v>1977</x:v>
      </x:c>
      <x:c r="G287" s="32" t="n">
        <x:v>33.6</x:v>
      </x:c>
      <x:c r="H287" s="12" t="n">
        <x:v>2721</x:v>
      </x:c>
      <x:c r="I287" s="12" t="n">
        <x:v>2</x:v>
      </x:c>
      <x:c r="J287" s="12" t="n">
        <x:v>837</x:v>
      </x:c>
      <x:c r="K287" s="3" t="str">
        <x:v>Ср</x:v>
      </x:c>
      <x:c r="L287" s="8" t="n">
        <x:v>45.46</x:v>
      </x:c>
      <x:c r="M287" s="32" t="n">
        <x:v>10156.5</x:v>
      </x:c>
    </x:row>
    <x:row r="288" ht="23" customHeight="1">
      <x:c r="A288" s="11" t="n">
        <x:v>10283</x:v>
      </x:c>
      <x:c r="B288" s="31" t="n">
        <x:v>70.1</x:v>
      </x:c>
      <x:c r="C288" s="31" t="n">
        <x:v>46.2</x:v>
      </x:c>
      <x:c r="D288" s="11" t="n">
        <x:v>3</x:v>
      </x:c>
      <x:c r="E288" s="11" t="n">
        <x:v>4</x:v>
      </x:c>
      <x:c r="F288" s="11" t="n">
        <x:v>1988</x:v>
      </x:c>
      <x:c r="G288" s="31" t="n">
        <x:v>15.2</x:v>
      </x:c>
      <x:c r="H288" s="11" t="n">
        <x:v>1162</x:v>
      </x:c>
      <x:c r="I288" s="11" t="n">
        <x:v>1</x:v>
      </x:c>
      <x:c r="J288" s="11" t="n">
        <x:v>164</x:v>
      </x:c>
      <x:c r="K288" s="9" t="str">
        <x:v>Пт</x:v>
      </x:c>
      <x:c r="L288" s="10" t="n">
        <x:v>70.41</x:v>
      </x:c>
      <x:c r="M288" s="31" t="n">
        <x:v>13597.5</x:v>
      </x:c>
    </x:row>
    <x:row r="289" ht="23" customHeight="1">
      <x:c r="A289" s="12" t="n">
        <x:v>10284</x:v>
      </x:c>
      <x:c r="B289" s="32" t="n">
        <x:v>38.5</x:v>
      </x:c>
      <x:c r="C289" s="32" t="n">
        <x:v>23.6</x:v>
      </x:c>
      <x:c r="D289" s="12" t="n">
        <x:v>2</x:v>
      </x:c>
      <x:c r="E289" s="12" t="n">
        <x:v>18</x:v>
      </x:c>
      <x:c r="F289" s="12" t="n">
        <x:v>2007</x:v>
      </x:c>
      <x:c r="G289" s="32" t="n">
        <x:v>29.7</x:v>
      </x:c>
      <x:c r="H289" s="12" t="n">
        <x:v>2462</x:v>
      </x:c>
      <x:c r="I289" s="12" t="n">
        <x:v>1</x:v>
      </x:c>
      <x:c r="J289" s="12" t="n">
        <x:v>187</x:v>
      </x:c>
      <x:c r="K289" s="3" t="str">
        <x:v>Пт</x:v>
      </x:c>
      <x:c r="L289" s="8" t="n">
        <x:v>62.05</x:v>
      </x:c>
      <x:c r="M289" s="32" t="n">
        <x:v>6687.4</x:v>
      </x:c>
    </x:row>
    <x:row r="290" ht="23" customHeight="1">
      <x:c r="A290" s="11" t="n">
        <x:v>10285</x:v>
      </x:c>
      <x:c r="B290" s="31" t="n">
        <x:v>92.8</x:v>
      </x:c>
      <x:c r="C290" s="31" t="n">
        <x:v>60</x:v>
      </x:c>
      <x:c r="D290" s="11" t="n">
        <x:v>4</x:v>
      </x:c>
      <x:c r="E290" s="11" t="n">
        <x:v>1</x:v>
      </x:c>
      <x:c r="F290" s="11" t="n">
        <x:v>1972</x:v>
      </x:c>
      <x:c r="G290" s="31" t="n">
        <x:v>8.2</x:v>
      </x:c>
      <x:c r="H290" s="11" t="n">
        <x:v>611</x:v>
      </x:c>
      <x:c r="I290" s="11" t="n">
        <x:v>8</x:v>
      </x:c>
      <x:c r="J290" s="11" t="n">
        <x:v>187</x:v>
      </x:c>
      <x:c r="K290" s="9" t="str">
        <x:v>Вт</x:v>
      </x:c>
      <x:c r="L290" s="10" t="n">
        <x:v>37.98</x:v>
      </x:c>
      <x:c r="M290" s="31" t="n">
        <x:v>16541.3</x:v>
      </x:c>
    </x:row>
    <x:row r="291" ht="23" customHeight="1">
      <x:c r="A291" s="12" t="n">
        <x:v>10286</x:v>
      </x:c>
      <x:c r="B291" s="32" t="n">
        <x:v>32</x:v>
      </x:c>
      <x:c r="C291" s="32" t="n">
        <x:v>22.8</x:v>
      </x:c>
      <x:c r="D291" s="12" t="n">
        <x:v>1</x:v>
      </x:c>
      <x:c r="E291" s="12" t="n">
        <x:v>7</x:v>
      </x:c>
      <x:c r="F291" s="12" t="n">
        <x:v>1974</x:v>
      </x:c>
      <x:c r="G291" s="32" t="n">
        <x:v>24.2</x:v>
      </x:c>
      <x:c r="H291" s="12" t="n">
        <x:v>1947</x:v>
      </x:c>
      <x:c r="I291" s="12" t="n">
        <x:v>4</x:v>
      </x:c>
      <x:c r="J291" s="12" t="n">
        <x:v>812</x:v>
      </x:c>
      <x:c r="K291" s="3" t="str">
        <x:v>Вт</x:v>
      </x:c>
      <x:c r="L291" s="8" t="n">
        <x:v>59.5</x:v>
      </x:c>
      <x:c r="M291" s="32" t="n">
        <x:v>5864.7</x:v>
      </x:c>
    </x:row>
    <x:row r="292" ht="23" customHeight="1">
      <x:c r="A292" s="11" t="n">
        <x:v>10287</x:v>
      </x:c>
      <x:c r="B292" s="31" t="n">
        <x:v>80.1</x:v>
      </x:c>
      <x:c r="C292" s="31" t="n">
        <x:v>46.2</x:v>
      </x:c>
      <x:c r="D292" s="11" t="n">
        <x:v>3</x:v>
      </x:c>
      <x:c r="E292" s="11" t="n">
        <x:v>6</x:v>
      </x:c>
      <x:c r="F292" s="11" t="n">
        <x:v>1982</x:v>
      </x:c>
      <x:c r="G292" s="31" t="n">
        <x:v>34.2</x:v>
      </x:c>
      <x:c r="H292" s="11" t="n">
        <x:v>2776</x:v>
      </x:c>
      <x:c r="I292" s="11" t="n">
        <x:v>5</x:v>
      </x:c>
      <x:c r="J292" s="11" t="n">
        <x:v>825</x:v>
      </x:c>
      <x:c r="K292" s="9" t="str">
        <x:v>Сб</x:v>
      </x:c>
      <x:c r="L292" s="10" t="n">
        <x:v>43.88</x:v>
      </x:c>
      <x:c r="M292" s="31" t="n">
        <x:v>12836.8</x:v>
      </x:c>
    </x:row>
    <x:row r="293" ht="23" customHeight="1">
      <x:c r="A293" s="12" t="n">
        <x:v>10288</x:v>
      </x:c>
      <x:c r="B293" s="32" t="n">
        <x:v>88.8</x:v>
      </x:c>
      <x:c r="C293" s="32" t="n">
        <x:v>60</x:v>
      </x:c>
      <x:c r="D293" s="12" t="n">
        <x:v>4</x:v>
      </x:c>
      <x:c r="E293" s="12" t="n">
        <x:v>15</x:v>
      </x:c>
      <x:c r="F293" s="12" t="n">
        <x:v>2016</x:v>
      </x:c>
      <x:c r="G293" s="32" t="n">
        <x:v>5.4</x:v>
      </x:c>
      <x:c r="H293" s="12" t="n">
        <x:v>403</x:v>
      </x:c>
      <x:c r="I293" s="12" t="n">
        <x:v>8</x:v>
      </x:c>
      <x:c r="J293" s="12" t="n">
        <x:v>303</x:v>
      </x:c>
      <x:c r="K293" s="3" t="str">
        <x:v>Чт</x:v>
      </x:c>
      <x:c r="L293" s="8" t="n">
        <x:v>57.1</x:v>
      </x:c>
      <x:c r="M293" s="32" t="n">
        <x:v>18590.6</x:v>
      </x:c>
    </x:row>
    <x:row r="294" ht="23" customHeight="1">
      <x:c r="A294" s="11" t="n">
        <x:v>10289</x:v>
      </x:c>
      <x:c r="B294" s="31" t="n">
        <x:v>60.1</x:v>
      </x:c>
      <x:c r="C294" s="31" t="n">
        <x:v>36.5</x:v>
      </x:c>
      <x:c r="D294" s="11" t="n">
        <x:v>3</x:v>
      </x:c>
      <x:c r="E294" s="11" t="n">
        <x:v>18</x:v>
      </x:c>
      <x:c r="F294" s="11" t="n">
        <x:v>2015</x:v>
      </x:c>
      <x:c r="G294" s="31" t="n">
        <x:v>2.3</x:v>
      </x:c>
      <x:c r="H294" s="11" t="n">
        <x:v>227</x:v>
      </x:c>
      <x:c r="I294" s="11" t="n">
        <x:v>7</x:v>
      </x:c>
      <x:c r="J294" s="11" t="n">
        <x:v>481</x:v>
      </x:c>
      <x:c r="K294" s="9" t="str">
        <x:v>Пн</x:v>
      </x:c>
      <x:c r="L294" s="10" t="n">
        <x:v>62.78</x:v>
      </x:c>
      <x:c r="M294" s="31" t="n">
        <x:v>14680.2</x:v>
      </x:c>
    </x:row>
    <x:row r="295" ht="23" customHeight="1">
      <x:c r="A295" s="12" t="n">
        <x:v>10290</x:v>
      </x:c>
      <x:c r="B295" s="32" t="n">
        <x:v>94.2</x:v>
      </x:c>
      <x:c r="C295" s="32" t="n">
        <x:v>65.7</x:v>
      </x:c>
      <x:c r="D295" s="12" t="n">
        <x:v>5</x:v>
      </x:c>
      <x:c r="E295" s="12" t="n">
        <x:v>24</x:v>
      </x:c>
      <x:c r="F295" s="12" t="n">
        <x:v>2000</x:v>
      </x:c>
      <x:c r="G295" s="32" t="n">
        <x:v>16.3</x:v>
      </x:c>
      <x:c r="H295" s="12" t="n">
        <x:v>1243</x:v>
      </x:c>
      <x:c r="I295" s="12" t="n">
        <x:v>8</x:v>
      </x:c>
      <x:c r="J295" s="12" t="n">
        <x:v>700</x:v>
      </x:c>
      <x:c r="K295" s="3" t="str">
        <x:v>Чт</x:v>
      </x:c>
      <x:c r="L295" s="8" t="n">
        <x:v>66.72</x:v>
      </x:c>
      <x:c r="M295" s="32" t="n">
        <x:v>18814.3</x:v>
      </x:c>
    </x:row>
    <x:row r="296" ht="23" customHeight="1">
      <x:c r="A296" s="11" t="n">
        <x:v>10291</x:v>
      </x:c>
      <x:c r="B296" s="31" t="n">
        <x:v>31.4</x:v>
      </x:c>
      <x:c r="C296" s="31" t="n">
        <x:v>20.3</x:v>
      </x:c>
      <x:c r="D296" s="11" t="n">
        <x:v>1</x:v>
      </x:c>
      <x:c r="E296" s="11" t="n">
        <x:v>11</x:v>
      </x:c>
      <x:c r="F296" s="11" t="n">
        <x:v>1985</x:v>
      </x:c>
      <x:c r="G296" s="31" t="n">
        <x:v>5.1</x:v>
      </x:c>
      <x:c r="H296" s="11" t="n">
        <x:v>481</x:v>
      </x:c>
      <x:c r="I296" s="11" t="n">
        <x:v>8</x:v>
      </x:c>
      <x:c r="J296" s="11" t="n">
        <x:v>575</x:v>
      </x:c>
      <x:c r="K296" s="9" t="str">
        <x:v>Чт</x:v>
      </x:c>
      <x:c r="L296" s="10" t="n">
        <x:v>53.03</x:v>
      </x:c>
      <x:c r="M296" s="31" t="n">
        <x:v>7210.5</x:v>
      </x:c>
    </x:row>
    <x:row r="297" ht="23" customHeight="1">
      <x:c r="A297" s="12" t="n">
        <x:v>10292</x:v>
      </x:c>
      <x:c r="B297" s="32" t="n">
        <x:v>32.2</x:v>
      </x:c>
      <x:c r="C297" s="32" t="n">
        <x:v>18.7</x:v>
      </x:c>
      <x:c r="D297" s="12" t="n">
        <x:v>1</x:v>
      </x:c>
      <x:c r="E297" s="12" t="n">
        <x:v>20</x:v>
      </x:c>
      <x:c r="F297" s="12" t="n">
        <x:v>2019</x:v>
      </x:c>
      <x:c r="G297" s="32" t="n">
        <x:v>26.7</x:v>
      </x:c>
      <x:c r="H297" s="12" t="n">
        <x:v>2137</x:v>
      </x:c>
      <x:c r="I297" s="12" t="n">
        <x:v>6</x:v>
      </x:c>
      <x:c r="J297" s="12" t="n">
        <x:v>672</x:v>
      </x:c>
      <x:c r="K297" s="3" t="str">
        <x:v>Вс</x:v>
      </x:c>
      <x:c r="L297" s="8" t="n">
        <x:v>74</x:v>
      </x:c>
      <x:c r="M297" s="32" t="n">
        <x:v>7328.8</x:v>
      </x:c>
    </x:row>
    <x:row r="298" ht="23" customHeight="1">
      <x:c r="A298" s="11" t="n">
        <x:v>10293</x:v>
      </x:c>
      <x:c r="B298" s="31" t="n">
        <x:v>120.1</x:v>
      </x:c>
      <x:c r="C298" s="31" t="n">
        <x:v>84</x:v>
      </x:c>
      <x:c r="D298" s="11" t="n">
        <x:v>5</x:v>
      </x:c>
      <x:c r="E298" s="11" t="n">
        <x:v>24</x:v>
      </x:c>
      <x:c r="F298" s="11" t="n">
        <x:v>2001</x:v>
      </x:c>
      <x:c r="G298" s="31" t="n">
        <x:v>32.2</x:v>
      </x:c>
      <x:c r="H298" s="11" t="n">
        <x:v>2546</x:v>
      </x:c>
      <x:c r="I298" s="11" t="n">
        <x:v>2</x:v>
      </x:c>
      <x:c r="J298" s="11" t="n">
        <x:v>882</x:v>
      </x:c>
      <x:c r="K298" s="9" t="str">
        <x:v>Вс</x:v>
      </x:c>
      <x:c r="L298" s="10" t="n">
        <x:v>56.62</x:v>
      </x:c>
      <x:c r="M298" s="31" t="n">
        <x:v>21395.1</x:v>
      </x:c>
    </x:row>
    <x:row r="299" ht="23" customHeight="1">
      <x:c r="A299" s="12" t="n">
        <x:v>10294</x:v>
      </x:c>
      <x:c r="B299" s="32" t="n">
        <x:v>68.3</x:v>
      </x:c>
      <x:c r="C299" s="32" t="n">
        <x:v>39.4</x:v>
      </x:c>
      <x:c r="D299" s="12" t="n">
        <x:v>4</x:v>
      </x:c>
      <x:c r="E299" s="12" t="n">
        <x:v>15</x:v>
      </x:c>
      <x:c r="F299" s="12" t="n">
        <x:v>1991</x:v>
      </x:c>
      <x:c r="G299" s="32" t="n">
        <x:v>16.3</x:v>
      </x:c>
      <x:c r="H299" s="12" t="n">
        <x:v>1289</x:v>
      </x:c>
      <x:c r="I299" s="12" t="n">
        <x:v>6</x:v>
      </x:c>
      <x:c r="J299" s="12" t="n">
        <x:v>705</x:v>
      </x:c>
      <x:c r="K299" s="3" t="str">
        <x:v>Сб</x:v>
      </x:c>
      <x:c r="L299" s="8" t="n">
        <x:v>52.03</x:v>
      </x:c>
      <x:c r="M299" s="32" t="n">
        <x:v>11876.8</x:v>
      </x:c>
    </x:row>
    <x:row r="300" ht="23" customHeight="1">
      <x:c r="A300" s="11" t="n">
        <x:v>10295</x:v>
      </x:c>
      <x:c r="B300" s="31" t="n">
        <x:v>42.2</x:v>
      </x:c>
      <x:c r="C300" s="31" t="n">
        <x:v>27.4</x:v>
      </x:c>
      <x:c r="D300" s="11" t="n">
        <x:v>2</x:v>
      </x:c>
      <x:c r="E300" s="11" t="n">
        <x:v>16</x:v>
      </x:c>
      <x:c r="F300" s="11" t="n">
        <x:v>1998</x:v>
      </x:c>
      <x:c r="G300" s="31" t="n">
        <x:v>10.5</x:v>
      </x:c>
      <x:c r="H300" s="11" t="n">
        <x:v>880</x:v>
      </x:c>
      <x:c r="I300" s="11" t="n">
        <x:v>1</x:v>
      </x:c>
      <x:c r="J300" s="11" t="n">
        <x:v>918</x:v>
      </x:c>
      <x:c r="K300" s="9" t="str">
        <x:v>Вс</x:v>
      </x:c>
      <x:c r="L300" s="10" t="n">
        <x:v>45.46</x:v>
      </x:c>
      <x:c r="M300" s="31" t="n">
        <x:v>8839.4</x:v>
      </x:c>
    </x:row>
    <x:row r="301" ht="23" customHeight="1">
      <x:c r="A301" s="12" t="n">
        <x:v>10296</x:v>
      </x:c>
      <x:c r="B301" s="32" t="n">
        <x:v>86.5</x:v>
      </x:c>
      <x:c r="C301" s="32" t="n">
        <x:v>52.7</x:v>
      </x:c>
      <x:c r="D301" s="12" t="n">
        <x:v>4</x:v>
      </x:c>
      <x:c r="E301" s="12" t="n">
        <x:v>7</x:v>
      </x:c>
      <x:c r="F301" s="12" t="n">
        <x:v>1991</x:v>
      </x:c>
      <x:c r="G301" s="32" t="n">
        <x:v>16.3</x:v>
      </x:c>
      <x:c r="H301" s="12" t="n">
        <x:v>1275</x:v>
      </x:c>
      <x:c r="I301" s="12" t="n">
        <x:v>1</x:v>
      </x:c>
      <x:c r="J301" s="12" t="n">
        <x:v>638</x:v>
      </x:c>
      <x:c r="K301" s="3" t="str">
        <x:v>Ср</x:v>
      </x:c>
      <x:c r="L301" s="8" t="n">
        <x:v>40.53</x:v>
      </x:c>
      <x:c r="M301" s="32" t="n">
        <x:v>16598</x:v>
      </x:c>
    </x:row>
    <x:row r="302" ht="23" customHeight="1">
      <x:c r="A302" s="11" t="n">
        <x:v>10297</x:v>
      </x:c>
      <x:c r="B302" s="31" t="n">
        <x:v>114.2</x:v>
      </x:c>
      <x:c r="C302" s="31" t="n">
        <x:v>69</x:v>
      </x:c>
      <x:c r="D302" s="11" t="n">
        <x:v>5</x:v>
      </x:c>
      <x:c r="E302" s="11" t="n">
        <x:v>21</x:v>
      </x:c>
      <x:c r="F302" s="11" t="n">
        <x:v>2012</x:v>
      </x:c>
      <x:c r="G302" s="31" t="n">
        <x:v>25.9</x:v>
      </x:c>
      <x:c r="H302" s="11" t="n">
        <x:v>2035</x:v>
      </x:c>
      <x:c r="I302" s="11" t="n">
        <x:v>3</x:v>
      </x:c>
      <x:c r="J302" s="11" t="n">
        <x:v>313</x:v>
      </x:c>
      <x:c r="K302" s="9" t="str">
        <x:v>Сб</x:v>
      </x:c>
      <x:c r="L302" s="10" t="n">
        <x:v>56.3</x:v>
      </x:c>
      <x:c r="M302" s="31" t="n">
        <x:v>20959.8</x:v>
      </x:c>
    </x:row>
    <x:row r="303" ht="23" customHeight="1">
      <x:c r="A303" s="12" t="n">
        <x:v>10298</x:v>
      </x:c>
      <x:c r="B303" s="32" t="n">
        <x:v>52.2</x:v>
      </x:c>
      <x:c r="C303" s="32" t="n">
        <x:v>31.8</x:v>
      </x:c>
      <x:c r="D303" s="12" t="n">
        <x:v>2</x:v>
      </x:c>
      <x:c r="E303" s="12" t="n">
        <x:v>10</x:v>
      </x:c>
      <x:c r="F303" s="12" t="n">
        <x:v>1972</x:v>
      </x:c>
      <x:c r="G303" s="32" t="n">
        <x:v>2.3</x:v>
      </x:c>
      <x:c r="H303" s="12" t="n">
        <x:v>173</x:v>
      </x:c>
      <x:c r="I303" s="12" t="n">
        <x:v>3</x:v>
      </x:c>
      <x:c r="J303" s="12" t="n">
        <x:v>173</x:v>
      </x:c>
      <x:c r="K303" s="3" t="str">
        <x:v>Сб</x:v>
      </x:c>
      <x:c r="L303" s="8" t="n">
        <x:v>51.51</x:v>
      </x:c>
      <x:c r="M303" s="32" t="n">
        <x:v>10944.9</x:v>
      </x:c>
    </x:row>
    <x:row r="304" ht="23" customHeight="1">
      <x:c r="A304" s="11" t="n">
        <x:v>10299</x:v>
      </x:c>
      <x:c r="B304" s="31" t="n">
        <x:v>97.8</x:v>
      </x:c>
      <x:c r="C304" s="31" t="n">
        <x:v>59.4</x:v>
      </x:c>
      <x:c r="D304" s="11" t="n">
        <x:v>4</x:v>
      </x:c>
      <x:c r="E304" s="11" t="n">
        <x:v>12</x:v>
      </x:c>
      <x:c r="F304" s="11" t="n">
        <x:v>2023</x:v>
      </x:c>
      <x:c r="G304" s="31" t="n">
        <x:v>21.5</x:v>
      </x:c>
      <x:c r="H304" s="11" t="n">
        <x:v>1661</x:v>
      </x:c>
      <x:c r="I304" s="11" t="n">
        <x:v>5</x:v>
      </x:c>
      <x:c r="J304" s="11" t="n">
        <x:v>160</x:v>
      </x:c>
      <x:c r="K304" s="9" t="str">
        <x:v>Пт</x:v>
      </x:c>
      <x:c r="L304" s="10" t="n">
        <x:v>53.91</x:v>
      </x:c>
      <x:c r="M304" s="31" t="n">
        <x:v>19315.9</x:v>
      </x:c>
    </x:row>
    <x:row r="305" ht="23" customHeight="1">
      <x:c r="A305" s="12" t="n">
        <x:v>10300</x:v>
      </x:c>
      <x:c r="B305" s="32" t="n">
        <x:v>37.6</x:v>
      </x:c>
      <x:c r="C305" s="32" t="n">
        <x:v>20.7</x:v>
      </x:c>
      <x:c r="D305" s="12" t="n">
        <x:v>2</x:v>
      </x:c>
      <x:c r="E305" s="12" t="n">
        <x:v>24</x:v>
      </x:c>
      <x:c r="F305" s="12" t="n">
        <x:v>1979</x:v>
      </x:c>
      <x:c r="G305" s="32" t="n">
        <x:v>22.2</x:v>
      </x:c>
      <x:c r="H305" s="12" t="n">
        <x:v>1867</x:v>
      </x:c>
      <x:c r="I305" s="12" t="n">
        <x:v>1</x:v>
      </x:c>
      <x:c r="J305" s="12" t="n">
        <x:v>797</x:v>
      </x:c>
      <x:c r="K305" s="3" t="str">
        <x:v>Пт</x:v>
      </x:c>
      <x:c r="L305" s="8" t="n">
        <x:v>57.21</x:v>
      </x:c>
      <x:c r="M305" s="32" t="n">
        <x:v>7402.9</x:v>
      </x:c>
    </x:row>
    <x:row r="306" ht="23" customHeight="1">
      <x:c r="A306" s="11" t="n">
        <x:v>10301</x:v>
      </x:c>
      <x:c r="B306" s="31" t="n">
        <x:v>33.8</x:v>
      </x:c>
      <x:c r="C306" s="31" t="n">
        <x:v>15.7</x:v>
      </x:c>
      <x:c r="D306" s="11" t="n">
        <x:v>2</x:v>
      </x:c>
      <x:c r="E306" s="11" t="n">
        <x:v>14</x:v>
      </x:c>
      <x:c r="F306" s="11" t="n">
        <x:v>2011</x:v>
      </x:c>
      <x:c r="G306" s="31" t="n">
        <x:v>23</x:v>
      </x:c>
      <x:c r="H306" s="11" t="n">
        <x:v>1812</x:v>
      </x:c>
      <x:c r="I306" s="11" t="n">
        <x:v>6</x:v>
      </x:c>
      <x:c r="J306" s="11" t="n">
        <x:v>642</x:v>
      </x:c>
      <x:c r="K306" s="9" t="str">
        <x:v>Пт</x:v>
      </x:c>
      <x:c r="L306" s="10" t="n">
        <x:v>53.85</x:v>
      </x:c>
      <x:c r="M306" s="31" t="n">
        <x:v>6741.3</x:v>
      </x:c>
    </x:row>
    <x:row r="307" ht="23" customHeight="1">
      <x:c r="A307" s="12" t="n">
        <x:v>10302</x:v>
      </x:c>
      <x:c r="B307" s="32" t="n">
        <x:v>87.5</x:v>
      </x:c>
      <x:c r="C307" s="32" t="n">
        <x:v>51.6</x:v>
      </x:c>
      <x:c r="D307" s="12" t="n">
        <x:v>3</x:v>
      </x:c>
      <x:c r="E307" s="12" t="n">
        <x:v>25</x:v>
      </x:c>
      <x:c r="F307" s="12" t="n">
        <x:v>1990</x:v>
      </x:c>
      <x:c r="G307" s="32" t="n">
        <x:v>10</x:v>
      </x:c>
      <x:c r="H307" s="12" t="n">
        <x:v>842</x:v>
      </x:c>
      <x:c r="I307" s="12" t="n">
        <x:v>7</x:v>
      </x:c>
      <x:c r="J307" s="12" t="n">
        <x:v>318</x:v>
      </x:c>
      <x:c r="K307" s="3" t="str">
        <x:v>Пн</x:v>
      </x:c>
      <x:c r="L307" s="8" t="n">
        <x:v>80.2</x:v>
      </x:c>
      <x:c r="M307" s="32" t="n">
        <x:v>17439.9</x:v>
      </x:c>
    </x:row>
    <x:row r="308" ht="23" customHeight="1">
      <x:c r="A308" s="11" t="n">
        <x:v>10303</x:v>
      </x:c>
      <x:c r="B308" s="31" t="n">
        <x:v>88.6</x:v>
      </x:c>
      <x:c r="C308" s="31" t="n">
        <x:v>48.6</x:v>
      </x:c>
      <x:c r="D308" s="11" t="n">
        <x:v>4</x:v>
      </x:c>
      <x:c r="E308" s="11" t="n">
        <x:v>5</x:v>
      </x:c>
      <x:c r="F308" s="11" t="n">
        <x:v>1985</x:v>
      </x:c>
      <x:c r="G308" s="31" t="n">
        <x:v>25.6</x:v>
      </x:c>
      <x:c r="H308" s="11" t="n">
        <x:v>2058</x:v>
      </x:c>
      <x:c r="I308" s="11" t="n">
        <x:v>3</x:v>
      </x:c>
      <x:c r="J308" s="11" t="n">
        <x:v>111</x:v>
      </x:c>
      <x:c r="K308" s="9" t="str">
        <x:v>Ср</x:v>
      </x:c>
      <x:c r="L308" s="10" t="n">
        <x:v>42.08</x:v>
      </x:c>
      <x:c r="M308" s="31" t="n">
        <x:v>15318.6</x:v>
      </x:c>
    </x:row>
    <x:row r="309" ht="23" customHeight="1">
      <x:c r="A309" s="12" t="n">
        <x:v>10304</x:v>
      </x:c>
      <x:c r="B309" s="32" t="n">
        <x:v>99.4</x:v>
      </x:c>
      <x:c r="C309" s="32" t="n">
        <x:v>68.8</x:v>
      </x:c>
      <x:c r="D309" s="12" t="n">
        <x:v>4</x:v>
      </x:c>
      <x:c r="E309" s="12" t="n">
        <x:v>21</x:v>
      </x:c>
      <x:c r="F309" s="12" t="n">
        <x:v>1981</x:v>
      </x:c>
      <x:c r="G309" s="32" t="n">
        <x:v>5</x:v>
      </x:c>
      <x:c r="H309" s="12" t="n">
        <x:v>351</x:v>
      </x:c>
      <x:c r="I309" s="12" t="n">
        <x:v>4</x:v>
      </x:c>
      <x:c r="J309" s="12" t="n">
        <x:v>913</x:v>
      </x:c>
      <x:c r="K309" s="3" t="str">
        <x:v>Ср</x:v>
      </x:c>
      <x:c r="L309" s="8" t="n">
        <x:v>56.48</x:v>
      </x:c>
      <x:c r="M309" s="32" t="n">
        <x:v>18979.6</x:v>
      </x:c>
    </x:row>
    <x:row r="310" ht="23" customHeight="1">
      <x:c r="A310" s="11" t="n">
        <x:v>10305</x:v>
      </x:c>
      <x:c r="B310" s="31" t="n">
        <x:v>109.3</x:v>
      </x:c>
      <x:c r="C310" s="31" t="n">
        <x:v>74.4</x:v>
      </x:c>
      <x:c r="D310" s="11" t="n">
        <x:v>5</x:v>
      </x:c>
      <x:c r="E310" s="11" t="n">
        <x:v>18</x:v>
      </x:c>
      <x:c r="F310" s="11" t="n">
        <x:v>1971</x:v>
      </x:c>
      <x:c r="G310" s="31" t="n">
        <x:v>8.6</x:v>
      </x:c>
      <x:c r="H310" s="11" t="n">
        <x:v>688</x:v>
      </x:c>
      <x:c r="I310" s="11" t="n">
        <x:v>3</x:v>
      </x:c>
      <x:c r="J310" s="11" t="n">
        <x:v>514</x:v>
      </x:c>
      <x:c r="K310" s="9" t="str">
        <x:v>Пт</x:v>
      </x:c>
      <x:c r="L310" s="10" t="n">
        <x:v>46.58</x:v>
      </x:c>
      <x:c r="M310" s="31" t="n">
        <x:v>19856.9</x:v>
      </x:c>
    </x:row>
    <x:row r="311" ht="23" customHeight="1">
      <x:c r="A311" s="12" t="n">
        <x:v>10306</x:v>
      </x:c>
      <x:c r="B311" s="32" t="n">
        <x:v>137.3</x:v>
      </x:c>
      <x:c r="C311" s="32" t="n">
        <x:v>81.9</x:v>
      </x:c>
      <x:c r="D311" s="12" t="n">
        <x:v>5</x:v>
      </x:c>
      <x:c r="E311" s="12" t="n">
        <x:v>5</x:v>
      </x:c>
      <x:c r="F311" s="12" t="n">
        <x:v>2010</x:v>
      </x:c>
      <x:c r="G311" s="32" t="n">
        <x:v>31</x:v>
      </x:c>
      <x:c r="H311" s="12" t="n">
        <x:v>2519</x:v>
      </x:c>
      <x:c r="I311" s="12" t="n">
        <x:v>1</x:v>
      </x:c>
      <x:c r="J311" s="12" t="n">
        <x:v>131</x:v>
      </x:c>
      <x:c r="K311" s="3" t="str">
        <x:v>Чт</x:v>
      </x:c>
      <x:c r="L311" s="8" t="n">
        <x:v>13.08</x:v>
      </x:c>
      <x:c r="M311" s="32" t="n">
        <x:v>24584.9</x:v>
      </x:c>
    </x:row>
    <x:row r="312" ht="23" customHeight="1">
      <x:c r="A312" s="11" t="n">
        <x:v>10307</x:v>
      </x:c>
      <x:c r="B312" s="31" t="n">
        <x:v>85.8</x:v>
      </x:c>
      <x:c r="C312" s="31" t="n">
        <x:v>57.3</x:v>
      </x:c>
      <x:c r="D312" s="11" t="n">
        <x:v>3</x:v>
      </x:c>
      <x:c r="E312" s="11" t="n">
        <x:v>3</x:v>
      </x:c>
      <x:c r="F312" s="11" t="n">
        <x:v>1993</x:v>
      </x:c>
      <x:c r="G312" s="31" t="n">
        <x:v>26.4</x:v>
      </x:c>
      <x:c r="H312" s="11" t="n">
        <x:v>2103</x:v>
      </x:c>
      <x:c r="I312" s="11" t="n">
        <x:v>8</x:v>
      </x:c>
      <x:c r="J312" s="11" t="n">
        <x:v>259</x:v>
      </x:c>
      <x:c r="K312" s="9" t="str">
        <x:v>Пн</x:v>
      </x:c>
      <x:c r="L312" s="10" t="n">
        <x:v>47.1</x:v>
      </x:c>
      <x:c r="M312" s="31" t="n">
        <x:v>15385.4</x:v>
      </x:c>
    </x:row>
    <x:row r="313" ht="23" customHeight="1">
      <x:c r="A313" s="12" t="n">
        <x:v>10308</x:v>
      </x:c>
      <x:c r="B313" s="32" t="n">
        <x:v>64.2</x:v>
      </x:c>
      <x:c r="C313" s="32" t="n">
        <x:v>37.8</x:v>
      </x:c>
      <x:c r="D313" s="12" t="n">
        <x:v>3</x:v>
      </x:c>
      <x:c r="E313" s="12" t="n">
        <x:v>23</x:v>
      </x:c>
      <x:c r="F313" s="12" t="n">
        <x:v>2004</x:v>
      </x:c>
      <x:c r="G313" s="32" t="n">
        <x:v>2.5</x:v>
      </x:c>
      <x:c r="H313" s="12" t="n">
        <x:v>260</x:v>
      </x:c>
      <x:c r="I313" s="12" t="n">
        <x:v>2</x:v>
      </x:c>
      <x:c r="J313" s="12" t="n">
        <x:v>336</x:v>
      </x:c>
      <x:c r="K313" s="3" t="str">
        <x:v>Чт</x:v>
      </x:c>
      <x:c r="L313" s="8" t="n">
        <x:v>35.95</x:v>
      </x:c>
      <x:c r="M313" s="32" t="n">
        <x:v>14516.1</x:v>
      </x:c>
    </x:row>
    <x:row r="314" ht="23" customHeight="1">
      <x:c r="A314" s="11" t="n">
        <x:v>10309</x:v>
      </x:c>
      <x:c r="B314" s="31" t="n">
        <x:v>117.1</x:v>
      </x:c>
      <x:c r="C314" s="31" t="n">
        <x:v>76.7</x:v>
      </x:c>
      <x:c r="D314" s="11" t="n">
        <x:v>5</x:v>
      </x:c>
      <x:c r="E314" s="11" t="n">
        <x:v>5</x:v>
      </x:c>
      <x:c r="F314" s="11" t="n">
        <x:v>1999</x:v>
      </x:c>
      <x:c r="G314" s="31" t="n">
        <x:v>10.2</x:v>
      </x:c>
      <x:c r="H314" s="11" t="n">
        <x:v>867</x:v>
      </x:c>
      <x:c r="I314" s="11" t="n">
        <x:v>1</x:v>
      </x:c>
      <x:c r="J314" s="11" t="n">
        <x:v>838</x:v>
      </x:c>
      <x:c r="K314" s="9" t="str">
        <x:v>Вт</x:v>
      </x:c>
      <x:c r="L314" s="10" t="n">
        <x:v>49</x:v>
      </x:c>
      <x:c r="M314" s="31" t="n">
        <x:v>22471.1</x:v>
      </x:c>
    </x:row>
    <x:row r="315" ht="23" customHeight="1">
      <x:c r="A315" s="12" t="n">
        <x:v>10310</x:v>
      </x:c>
      <x:c r="B315" s="32" t="n">
        <x:v>58.3</x:v>
      </x:c>
      <x:c r="C315" s="32" t="n">
        <x:v>37.8</x:v>
      </x:c>
      <x:c r="D315" s="12" t="n">
        <x:v>2</x:v>
      </x:c>
      <x:c r="E315" s="12" t="n">
        <x:v>24</x:v>
      </x:c>
      <x:c r="F315" s="12" t="n">
        <x:v>1999</x:v>
      </x:c>
      <x:c r="G315" s="32" t="n">
        <x:v>9.1</x:v>
      </x:c>
      <x:c r="H315" s="12" t="n">
        <x:v>774</x:v>
      </x:c>
      <x:c r="I315" s="12" t="n">
        <x:v>8</x:v>
      </x:c>
      <x:c r="J315" s="12" t="n">
        <x:v>280</x:v>
      </x:c>
      <x:c r="K315" s="3" t="str">
        <x:v>Ср</x:v>
      </x:c>
      <x:c r="L315" s="8" t="n">
        <x:v>49.6</x:v>
      </x:c>
      <x:c r="M315" s="32" t="n">
        <x:v>12398.7</x:v>
      </x:c>
    </x:row>
    <x:row r="316" ht="23" customHeight="1">
      <x:c r="A316" s="11" t="n">
        <x:v>10311</x:v>
      </x:c>
      <x:c r="B316" s="31" t="n">
        <x:v>77.2</x:v>
      </x:c>
      <x:c r="C316" s="31" t="n">
        <x:v>53.7</x:v>
      </x:c>
      <x:c r="D316" s="11" t="n">
        <x:v>3</x:v>
      </x:c>
      <x:c r="E316" s="11" t="n">
        <x:v>17</x:v>
      </x:c>
      <x:c r="F316" s="11" t="n">
        <x:v>2016</x:v>
      </x:c>
      <x:c r="G316" s="31" t="n">
        <x:v>10.9</x:v>
      </x:c>
      <x:c r="H316" s="11" t="n">
        <x:v>849</x:v>
      </x:c>
      <x:c r="I316" s="11" t="n">
        <x:v>7</x:v>
      </x:c>
      <x:c r="J316" s="11" t="n">
        <x:v>928</x:v>
      </x:c>
      <x:c r="K316" s="9" t="str">
        <x:v>Ср</x:v>
      </x:c>
      <x:c r="L316" s="10" t="n">
        <x:v>55.78</x:v>
      </x:c>
      <x:c r="M316" s="31" t="n">
        <x:v>16190</x:v>
      </x:c>
    </x:row>
    <x:row r="317" ht="23" customHeight="1">
      <x:c r="A317" s="12" t="n">
        <x:v>10312</x:v>
      </x:c>
      <x:c r="B317" s="32" t="n">
        <x:v>36.8</x:v>
      </x:c>
      <x:c r="C317" s="32" t="n">
        <x:v>24.4</x:v>
      </x:c>
      <x:c r="D317" s="12" t="n">
        <x:v>2</x:v>
      </x:c>
      <x:c r="E317" s="12" t="n">
        <x:v>19</x:v>
      </x:c>
      <x:c r="F317" s="12" t="n">
        <x:v>2004</x:v>
      </x:c>
      <x:c r="G317" s="32" t="n">
        <x:v>10.2</x:v>
      </x:c>
      <x:c r="H317" s="12" t="n">
        <x:v>762</x:v>
      </x:c>
      <x:c r="I317" s="12" t="n">
        <x:v>7</x:v>
      </x:c>
      <x:c r="J317" s="12" t="n">
        <x:v>657</x:v>
      </x:c>
      <x:c r="K317" s="3" t="str">
        <x:v>Чт</x:v>
      </x:c>
      <x:c r="L317" s="8" t="n">
        <x:v>42.05</x:v>
      </x:c>
      <x:c r="M317" s="32" t="n">
        <x:v>8524.4</x:v>
      </x:c>
    </x:row>
    <x:row r="318" ht="23" customHeight="1">
      <x:c r="A318" s="11" t="n">
        <x:v>10313</x:v>
      </x:c>
      <x:c r="B318" s="31" t="n">
        <x:v>30.8</x:v>
      </x:c>
      <x:c r="C318" s="31" t="n">
        <x:v>21.4</x:v>
      </x:c>
      <x:c r="D318" s="11" t="n">
        <x:v>1</x:v>
      </x:c>
      <x:c r="E318" s="11" t="n">
        <x:v>19</x:v>
      </x:c>
      <x:c r="F318" s="11" t="n">
        <x:v>1988</x:v>
      </x:c>
      <x:c r="G318" s="31" t="n">
        <x:v>4.1</x:v>
      </x:c>
      <x:c r="H318" s="11" t="n">
        <x:v>297</x:v>
      </x:c>
      <x:c r="I318" s="11" t="n">
        <x:v>4</x:v>
      </x:c>
      <x:c r="J318" s="11" t="n">
        <x:v>440</x:v>
      </x:c>
      <x:c r="K318" s="9" t="str">
        <x:v>Пн</x:v>
      </x:c>
      <x:c r="L318" s="10" t="n">
        <x:v>43.92</x:v>
      </x:c>
      <x:c r="M318" s="31" t="n">
        <x:v>7457.1</x:v>
      </x:c>
    </x:row>
    <x:row r="319" ht="23" customHeight="1">
      <x:c r="A319" s="12" t="n">
        <x:v>10314</x:v>
      </x:c>
      <x:c r="B319" s="32" t="n">
        <x:v>135.8</x:v>
      </x:c>
      <x:c r="C319" s="32" t="n">
        <x:v>79.5</x:v>
      </x:c>
      <x:c r="D319" s="12" t="n">
        <x:v>4</x:v>
      </x:c>
      <x:c r="E319" s="12" t="n">
        <x:v>25</x:v>
      </x:c>
      <x:c r="F319" s="12" t="n">
        <x:v>2019</x:v>
      </x:c>
      <x:c r="G319" s="32" t="n">
        <x:v>17.1</x:v>
      </x:c>
      <x:c r="H319" s="12" t="n">
        <x:v>1378</x:v>
      </x:c>
      <x:c r="I319" s="12" t="n">
        <x:v>9</x:v>
      </x:c>
      <x:c r="J319" s="12" t="n">
        <x:v>557</x:v>
      </x:c>
      <x:c r="K319" s="3" t="str">
        <x:v>Ср</x:v>
      </x:c>
      <x:c r="L319" s="8" t="n">
        <x:v>60.51</x:v>
      </x:c>
      <x:c r="M319" s="32" t="n">
        <x:v>26613.1</x:v>
      </x:c>
    </x:row>
    <x:row r="320" ht="23" customHeight="1">
      <x:c r="A320" s="11" t="n">
        <x:v>10315</x:v>
      </x:c>
      <x:c r="B320" s="31" t="n">
        <x:v>121.6</x:v>
      </x:c>
      <x:c r="C320" s="31" t="n">
        <x:v>85.3</x:v>
      </x:c>
      <x:c r="D320" s="11" t="n">
        <x:v>5</x:v>
      </x:c>
      <x:c r="E320" s="11" t="n">
        <x:v>21</x:v>
      </x:c>
      <x:c r="F320" s="11" t="n">
        <x:v>1977</x:v>
      </x:c>
      <x:c r="G320" s="31" t="n">
        <x:v>26.2</x:v>
      </x:c>
      <x:c r="H320" s="11" t="n">
        <x:v>2123</x:v>
      </x:c>
      <x:c r="I320" s="11" t="n">
        <x:v>6</x:v>
      </x:c>
      <x:c r="J320" s="11" t="n">
        <x:v>179</x:v>
      </x:c>
      <x:c r="K320" s="9" t="str">
        <x:v>Чт</x:v>
      </x:c>
      <x:c r="L320" s="10" t="n">
        <x:v>37.86</x:v>
      </x:c>
      <x:c r="M320" s="31" t="n">
        <x:v>21343.9</x:v>
      </x:c>
    </x:row>
    <x:row r="321" ht="23" customHeight="1">
      <x:c r="A321" s="12" t="n">
        <x:v>10316</x:v>
      </x:c>
      <x:c r="B321" s="32" t="n">
        <x:v>105.9</x:v>
      </x:c>
      <x:c r="C321" s="32" t="n">
        <x:v>58.3</x:v>
      </x:c>
      <x:c r="D321" s="12" t="n">
        <x:v>4</x:v>
      </x:c>
      <x:c r="E321" s="12" t="n">
        <x:v>12</x:v>
      </x:c>
      <x:c r="F321" s="12" t="n">
        <x:v>1995</x:v>
      </x:c>
      <x:c r="G321" s="32" t="n">
        <x:v>22</x:v>
      </x:c>
      <x:c r="H321" s="12" t="n">
        <x:v>1651</x:v>
      </x:c>
      <x:c r="I321" s="12" t="n">
        <x:v>2</x:v>
      </x:c>
      <x:c r="J321" s="12" t="n">
        <x:v>746</x:v>
      </x:c>
      <x:c r="K321" s="3" t="str">
        <x:v>Сб</x:v>
      </x:c>
      <x:c r="L321" s="8" t="n">
        <x:v>22.42</x:v>
      </x:c>
      <x:c r="M321" s="32" t="n">
        <x:v>18733.4</x:v>
      </x:c>
    </x:row>
    <x:row r="322" ht="23" customHeight="1">
      <x:c r="A322" s="11" t="n">
        <x:v>10317</x:v>
      </x:c>
      <x:c r="B322" s="31" t="n">
        <x:v>73.8</x:v>
      </x:c>
      <x:c r="C322" s="31" t="n">
        <x:v>47.3</x:v>
      </x:c>
      <x:c r="D322" s="11" t="n">
        <x:v>2</x:v>
      </x:c>
      <x:c r="E322" s="11" t="n">
        <x:v>25</x:v>
      </x:c>
      <x:c r="F322" s="11" t="n">
        <x:v>2018</x:v>
      </x:c>
      <x:c r="G322" s="31" t="n">
        <x:v>24.2</x:v>
      </x:c>
      <x:c r="H322" s="11" t="n">
        <x:v>1936</x:v>
      </x:c>
      <x:c r="I322" s="11" t="n">
        <x:v>1</x:v>
      </x:c>
      <x:c r="J322" s="11" t="n">
        <x:v>871</x:v>
      </x:c>
      <x:c r="K322" s="9" t="str">
        <x:v>Сб</x:v>
      </x:c>
      <x:c r="L322" s="10" t="n">
        <x:v>52.36</x:v>
      </x:c>
      <x:c r="M322" s="31" t="n">
        <x:v>14372.6</x:v>
      </x:c>
    </x:row>
    <x:row r="323" ht="23" customHeight="1">
      <x:c r="A323" s="12" t="n">
        <x:v>10318</x:v>
      </x:c>
      <x:c r="B323" s="32" t="n">
        <x:v>47.4</x:v>
      </x:c>
      <x:c r="C323" s="32" t="n">
        <x:v>30.3</x:v>
      </x:c>
      <x:c r="D323" s="12" t="n">
        <x:v>2</x:v>
      </x:c>
      <x:c r="E323" s="12" t="n">
        <x:v>9</x:v>
      </x:c>
      <x:c r="F323" s="12" t="n">
        <x:v>2009</x:v>
      </x:c>
      <x:c r="G323" s="32" t="n">
        <x:v>4.7</x:v>
      </x:c>
      <x:c r="H323" s="12" t="n">
        <x:v>384</x:v>
      </x:c>
      <x:c r="I323" s="12" t="n">
        <x:v>1</x:v>
      </x:c>
      <x:c r="J323" s="12" t="n">
        <x:v>919</x:v>
      </x:c>
      <x:c r="K323" s="3" t="str">
        <x:v>Вс</x:v>
      </x:c>
      <x:c r="L323" s="8" t="n">
        <x:v>66.06</x:v>
      </x:c>
      <x:c r="M323" s="32" t="n">
        <x:v>10963.8</x:v>
      </x:c>
    </x:row>
    <x:row r="324" ht="23" customHeight="1">
      <x:c r="A324" s="11" t="n">
        <x:v>10319</x:v>
      </x:c>
      <x:c r="B324" s="31" t="n">
        <x:v>45.5</x:v>
      </x:c>
      <x:c r="C324" s="31" t="n">
        <x:v>29.5</x:v>
      </x:c>
      <x:c r="D324" s="11" t="n">
        <x:v>2</x:v>
      </x:c>
      <x:c r="E324" s="11" t="n">
        <x:v>1</x:v>
      </x:c>
      <x:c r="F324" s="11" t="n">
        <x:v>1976</x:v>
      </x:c>
      <x:c r="G324" s="31" t="n">
        <x:v>33.4</x:v>
      </x:c>
      <x:c r="H324" s="11" t="n">
        <x:v>2658</x:v>
      </x:c>
      <x:c r="I324" s="11" t="n">
        <x:v>9</x:v>
      </x:c>
      <x:c r="J324" s="11" t="n">
        <x:v>858</x:v>
      </x:c>
      <x:c r="K324" s="9" t="str">
        <x:v>Пн</x:v>
      </x:c>
      <x:c r="L324" s="10" t="n">
        <x:v>60.34</x:v>
      </x:c>
      <x:c r="M324" s="31" t="n">
        <x:v>6550.7</x:v>
      </x:c>
    </x:row>
    <x:row r="325" ht="23" customHeight="1">
      <x:c r="A325" s="12" t="n">
        <x:v>10320</x:v>
      </x:c>
      <x:c r="B325" s="32" t="n">
        <x:v>56</x:v>
      </x:c>
      <x:c r="C325" s="32" t="n">
        <x:v>32.1</x:v>
      </x:c>
      <x:c r="D325" s="12" t="n">
        <x:v>2</x:v>
      </x:c>
      <x:c r="E325" s="12" t="n">
        <x:v>18</x:v>
      </x:c>
      <x:c r="F325" s="12" t="n">
        <x:v>1999</x:v>
      </x:c>
      <x:c r="G325" s="32" t="n">
        <x:v>29.7</x:v>
      </x:c>
      <x:c r="H325" s="12" t="n">
        <x:v>2441</x:v>
      </x:c>
      <x:c r="I325" s="12" t="n">
        <x:v>4</x:v>
      </x:c>
      <x:c r="J325" s="12" t="n">
        <x:v>572</x:v>
      </x:c>
      <x:c r="K325" s="3" t="str">
        <x:v>Чт</x:v>
      </x:c>
      <x:c r="L325" s="8" t="n">
        <x:v>52.63</x:v>
      </x:c>
      <x:c r="M325" s="32" t="n">
        <x:v>9386.1</x:v>
      </x:c>
    </x:row>
    <x:row r="326" ht="23" customHeight="1">
      <x:c r="A326" s="11" t="n">
        <x:v>10321</x:v>
      </x:c>
      <x:c r="B326" s="31" t="n">
        <x:v>89.5</x:v>
      </x:c>
      <x:c r="C326" s="31" t="n">
        <x:v>60.3</x:v>
      </x:c>
      <x:c r="D326" s="11" t="n">
        <x:v>3</x:v>
      </x:c>
      <x:c r="E326" s="11" t="n">
        <x:v>21</x:v>
      </x:c>
      <x:c r="F326" s="11" t="n">
        <x:v>1976</x:v>
      </x:c>
      <x:c r="G326" s="31" t="n">
        <x:v>28.6</x:v>
      </x:c>
      <x:c r="H326" s="11" t="n">
        <x:v>2309</x:v>
      </x:c>
      <x:c r="I326" s="11" t="n">
        <x:v>5</x:v>
      </x:c>
      <x:c r="J326" s="11" t="n">
        <x:v>770</x:v>
      </x:c>
      <x:c r="K326" s="9" t="str">
        <x:v>Вс</x:v>
      </x:c>
      <x:c r="L326" s="10" t="n">
        <x:v>68.76</x:v>
      </x:c>
      <x:c r="M326" s="31" t="n">
        <x:v>14740</x:v>
      </x:c>
    </x:row>
    <x:row r="327" ht="23" customHeight="1">
      <x:c r="A327" s="12" t="n">
        <x:v>10322</x:v>
      </x:c>
      <x:c r="B327" s="32" t="n">
        <x:v>108</x:v>
      </x:c>
      <x:c r="C327" s="32" t="n">
        <x:v>60.8</x:v>
      </x:c>
      <x:c r="D327" s="12" t="n">
        <x:v>5</x:v>
      </x:c>
      <x:c r="E327" s="12" t="n">
        <x:v>4</x:v>
      </x:c>
      <x:c r="F327" s="12" t="n">
        <x:v>1972</x:v>
      </x:c>
      <x:c r="G327" s="32" t="n">
        <x:v>29.2</x:v>
      </x:c>
      <x:c r="H327" s="12" t="n">
        <x:v>2402</x:v>
      </x:c>
      <x:c r="I327" s="12" t="n">
        <x:v>3</x:v>
      </x:c>
      <x:c r="J327" s="12" t="n">
        <x:v>814</x:v>
      </x:c>
      <x:c r="K327" s="3" t="str">
        <x:v>Сб</x:v>
      </x:c>
      <x:c r="L327" s="8" t="n">
        <x:v>66.23</x:v>
      </x:c>
      <x:c r="M327" s="32" t="n">
        <x:v>17172.5</x:v>
      </x:c>
    </x:row>
    <x:row r="328" ht="23" customHeight="1">
      <x:c r="A328" s="11" t="n">
        <x:v>10323</x:v>
      </x:c>
      <x:c r="B328" s="31" t="n">
        <x:v>101.9</x:v>
      </x:c>
      <x:c r="C328" s="31" t="n">
        <x:v>63.5</x:v>
      </x:c>
      <x:c r="D328" s="11" t="n">
        <x:v>4</x:v>
      </x:c>
      <x:c r="E328" s="11" t="n">
        <x:v>10</x:v>
      </x:c>
      <x:c r="F328" s="11" t="n">
        <x:v>1970</x:v>
      </x:c>
      <x:c r="G328" s="31" t="n">
        <x:v>32.8</x:v>
      </x:c>
      <x:c r="H328" s="11" t="n">
        <x:v>2613</x:v>
      </x:c>
      <x:c r="I328" s="11" t="n">
        <x:v>4</x:v>
      </x:c>
      <x:c r="J328" s="11" t="n">
        <x:v>211</x:v>
      </x:c>
      <x:c r="K328" s="9" t="str">
        <x:v>Пн</x:v>
      </x:c>
      <x:c r="L328" s="10" t="n">
        <x:v>45.04</x:v>
      </x:c>
      <x:c r="M328" s="31" t="n">
        <x:v>16596.7</x:v>
      </x:c>
    </x:row>
    <x:row r="329" ht="23" customHeight="1">
      <x:c r="A329" s="12" t="n">
        <x:v>10324</x:v>
      </x:c>
      <x:c r="B329" s="32" t="n">
        <x:v>59.4</x:v>
      </x:c>
      <x:c r="C329" s="32" t="n">
        <x:v>32.3</x:v>
      </x:c>
      <x:c r="D329" s="12" t="n">
        <x:v>2</x:v>
      </x:c>
      <x:c r="E329" s="12" t="n">
        <x:v>25</x:v>
      </x:c>
      <x:c r="F329" s="12" t="n">
        <x:v>2005</x:v>
      </x:c>
      <x:c r="G329" s="32" t="n">
        <x:v>20</x:v>
      </x:c>
      <x:c r="H329" s="12" t="n">
        <x:v>1647</x:v>
      </x:c>
      <x:c r="I329" s="12" t="n">
        <x:v>8</x:v>
      </x:c>
      <x:c r="J329" s="12" t="n">
        <x:v>391</x:v>
      </x:c>
      <x:c r="K329" s="3" t="str">
        <x:v>Вс</x:v>
      </x:c>
      <x:c r="L329" s="8" t="n">
        <x:v>53.71</x:v>
      </x:c>
      <x:c r="M329" s="32" t="n">
        <x:v>12056.6</x:v>
      </x:c>
    </x:row>
    <x:row r="330" ht="23" customHeight="1">
      <x:c r="A330" s="11" t="n">
        <x:v>10325</x:v>
      </x:c>
      <x:c r="B330" s="31" t="n">
        <x:v>134.9</x:v>
      </x:c>
      <x:c r="C330" s="31" t="n">
        <x:v>78.6</x:v>
      </x:c>
      <x:c r="D330" s="11" t="n">
        <x:v>5</x:v>
      </x:c>
      <x:c r="E330" s="11" t="n">
        <x:v>7</x:v>
      </x:c>
      <x:c r="F330" s="11" t="n">
        <x:v>1994</x:v>
      </x:c>
      <x:c r="G330" s="31" t="n">
        <x:v>8.6</x:v>
      </x:c>
      <x:c r="H330" s="11" t="n">
        <x:v>770</x:v>
      </x:c>
      <x:c r="I330" s="11" t="n">
        <x:v>4</x:v>
      </x:c>
      <x:c r="J330" s="11" t="n">
        <x:v>921</x:v>
      </x:c>
      <x:c r="K330" s="9" t="str">
        <x:v>Пт</x:v>
      </x:c>
      <x:c r="L330" s="10" t="n">
        <x:v>54.36</x:v>
      </x:c>
      <x:c r="M330" s="31" t="n">
        <x:v>25302.4</x:v>
      </x:c>
    </x:row>
    <x:row r="331" ht="23" customHeight="1">
      <x:c r="A331" s="12" t="n">
        <x:v>10326</x:v>
      </x:c>
      <x:c r="B331" s="32" t="n">
        <x:v>110.6</x:v>
      </x:c>
      <x:c r="C331" s="32" t="n">
        <x:v>70.1</x:v>
      </x:c>
      <x:c r="D331" s="12" t="n">
        <x:v>4</x:v>
      </x:c>
      <x:c r="E331" s="12" t="n">
        <x:v>22</x:v>
      </x:c>
      <x:c r="F331" s="12" t="n">
        <x:v>2006</x:v>
      </x:c>
      <x:c r="G331" s="32" t="n">
        <x:v>22.4</x:v>
      </x:c>
      <x:c r="H331" s="12" t="n">
        <x:v>1858</x:v>
      </x:c>
      <x:c r="I331" s="12" t="n">
        <x:v>9</x:v>
      </x:c>
      <x:c r="J331" s="12" t="n">
        <x:v>730</x:v>
      </x:c>
      <x:c r="K331" s="3" t="str">
        <x:v>Пн</x:v>
      </x:c>
      <x:c r="L331" s="8" t="n">
        <x:v>48.7</x:v>
      </x:c>
      <x:c r="M331" s="32" t="n">
        <x:v>20308.5</x:v>
      </x:c>
    </x:row>
    <x:row r="332" ht="23" customHeight="1">
      <x:c r="A332" s="11" t="n">
        <x:v>10327</x:v>
      </x:c>
      <x:c r="B332" s="31" t="n">
        <x:v>90.1</x:v>
      </x:c>
      <x:c r="C332" s="31" t="n">
        <x:v>53.9</x:v>
      </x:c>
      <x:c r="D332" s="11" t="n">
        <x:v>3</x:v>
      </x:c>
      <x:c r="E332" s="11" t="n">
        <x:v>23</x:v>
      </x:c>
      <x:c r="F332" s="11" t="n">
        <x:v>1970</x:v>
      </x:c>
      <x:c r="G332" s="31" t="n">
        <x:v>26.5</x:v>
      </x:c>
      <x:c r="H332" s="11" t="n">
        <x:v>2065</x:v>
      </x:c>
      <x:c r="I332" s="11" t="n">
        <x:v>9</x:v>
      </x:c>
      <x:c r="J332" s="11" t="n">
        <x:v>482</x:v>
      </x:c>
      <x:c r="K332" s="9" t="str">
        <x:v>Вт</x:v>
      </x:c>
      <x:c r="L332" s="10" t="n">
        <x:v>67.01</x:v>
      </x:c>
      <x:c r="M332" s="31" t="n">
        <x:v>15008.8</x:v>
      </x:c>
    </x:row>
    <x:row r="333" ht="23" customHeight="1">
      <x:c r="A333" s="12" t="n">
        <x:v>10328</x:v>
      </x:c>
      <x:c r="B333" s="32" t="n">
        <x:v>96.5</x:v>
      </x:c>
      <x:c r="C333" s="32" t="n">
        <x:v>56.2</x:v>
      </x:c>
      <x:c r="D333" s="12" t="n">
        <x:v>4</x:v>
      </x:c>
      <x:c r="E333" s="12" t="n">
        <x:v>1</x:v>
      </x:c>
      <x:c r="F333" s="12" t="n">
        <x:v>1984</x:v>
      </x:c>
      <x:c r="G333" s="32" t="n">
        <x:v>26.4</x:v>
      </x:c>
      <x:c r="H333" s="12" t="n">
        <x:v>2099</x:v>
      </x:c>
      <x:c r="I333" s="12" t="n">
        <x:v>6</x:v>
      </x:c>
      <x:c r="J333" s="12" t="n">
        <x:v>116</x:v>
      </x:c>
      <x:c r="K333" s="3" t="str">
        <x:v>Пт</x:v>
      </x:c>
      <x:c r="L333" s="8" t="n">
        <x:v>47.72</x:v>
      </x:c>
      <x:c r="M333" s="32" t="n">
        <x:v>16275.4</x:v>
      </x:c>
    </x:row>
    <x:row r="334" ht="23" customHeight="1">
      <x:c r="A334" s="11" t="n">
        <x:v>10329</x:v>
      </x:c>
      <x:c r="B334" s="31" t="n">
        <x:v>75</x:v>
      </x:c>
      <x:c r="C334" s="31" t="n">
        <x:v>43.2</x:v>
      </x:c>
      <x:c r="D334" s="11" t="n">
        <x:v>3</x:v>
      </x:c>
      <x:c r="E334" s="11" t="n">
        <x:v>17</x:v>
      </x:c>
      <x:c r="F334" s="11" t="n">
        <x:v>2006</x:v>
      </x:c>
      <x:c r="G334" s="31" t="n">
        <x:v>19.2</x:v>
      </x:c>
      <x:c r="H334" s="11" t="n">
        <x:v>1519</x:v>
      </x:c>
      <x:c r="I334" s="11" t="n">
        <x:v>2</x:v>
      </x:c>
      <x:c r="J334" s="11" t="n">
        <x:v>592</x:v>
      </x:c>
      <x:c r="K334" s="9" t="str">
        <x:v>Вс</x:v>
      </x:c>
      <x:c r="L334" s="10" t="n">
        <x:v>42.5</x:v>
      </x:c>
      <x:c r="M334" s="31" t="n">
        <x:v>15496.6</x:v>
      </x:c>
    </x:row>
    <x:row r="335" ht="23" customHeight="1">
      <x:c r="A335" s="12" t="n">
        <x:v>10330</x:v>
      </x:c>
      <x:c r="B335" s="32" t="n">
        <x:v>55.7</x:v>
      </x:c>
      <x:c r="C335" s="32" t="n">
        <x:v>31.2</x:v>
      </x:c>
      <x:c r="D335" s="12" t="n">
        <x:v>2</x:v>
      </x:c>
      <x:c r="E335" s="12" t="n">
        <x:v>24</x:v>
      </x:c>
      <x:c r="F335" s="12" t="n">
        <x:v>1982</x:v>
      </x:c>
      <x:c r="G335" s="32" t="n">
        <x:v>4.3</x:v>
      </x:c>
      <x:c r="H335" s="12" t="n">
        <x:v>368</x:v>
      </x:c>
      <x:c r="I335" s="12" t="n">
        <x:v>7</x:v>
      </x:c>
      <x:c r="J335" s="12" t="n">
        <x:v>430</x:v>
      </x:c>
      <x:c r="K335" s="3" t="str">
        <x:v>Чт</x:v>
      </x:c>
      <x:c r="L335" s="8" t="n">
        <x:v>11.13</x:v>
      </x:c>
      <x:c r="M335" s="32" t="n">
        <x:v>12307.7</x:v>
      </x:c>
    </x:row>
    <x:row r="336" ht="23" customHeight="1">
      <x:c r="A336" s="11" t="n">
        <x:v>10331</x:v>
      </x:c>
      <x:c r="B336" s="31" t="n">
        <x:v>67.9</x:v>
      </x:c>
      <x:c r="C336" s="31" t="n">
        <x:v>46</x:v>
      </x:c>
      <x:c r="D336" s="11" t="n">
        <x:v>3</x:v>
      </x:c>
      <x:c r="E336" s="11" t="n">
        <x:v>2</x:v>
      </x:c>
      <x:c r="F336" s="11" t="n">
        <x:v>2009</x:v>
      </x:c>
      <x:c r="G336" s="31" t="n">
        <x:v>14.2</x:v>
      </x:c>
      <x:c r="H336" s="11" t="n">
        <x:v>1170</x:v>
      </x:c>
      <x:c r="I336" s="11" t="n">
        <x:v>9</x:v>
      </x:c>
      <x:c r="J336" s="11" t="n">
        <x:v>838</x:v>
      </x:c>
      <x:c r="K336" s="9" t="str">
        <x:v>Пт</x:v>
      </x:c>
      <x:c r="L336" s="10" t="n">
        <x:v>38.03</x:v>
      </x:c>
      <x:c r="M336" s="31" t="n">
        <x:v>13517.7</x:v>
      </x:c>
    </x:row>
    <x:row r="337" ht="23" customHeight="1">
      <x:c r="A337" s="12" t="n">
        <x:v>10332</x:v>
      </x:c>
      <x:c r="B337" s="32" t="n">
        <x:v>112.9</x:v>
      </x:c>
      <x:c r="C337" s="32" t="n">
        <x:v>78.5</x:v>
      </x:c>
      <x:c r="D337" s="12" t="n">
        <x:v>5</x:v>
      </x:c>
      <x:c r="E337" s="12" t="n">
        <x:v>11</x:v>
      </x:c>
      <x:c r="F337" s="12" t="n">
        <x:v>1977</x:v>
      </x:c>
      <x:c r="G337" s="32" t="n">
        <x:v>32.4</x:v>
      </x:c>
      <x:c r="H337" s="12" t="n">
        <x:v>2550</x:v>
      </x:c>
      <x:c r="I337" s="12" t="n">
        <x:v>6</x:v>
      </x:c>
      <x:c r="J337" s="12" t="n">
        <x:v>972</x:v>
      </x:c>
      <x:c r="K337" s="3" t="str">
        <x:v>Пт</x:v>
      </x:c>
      <x:c r="L337" s="8" t="n">
        <x:v>30.27</x:v>
      </x:c>
      <x:c r="M337" s="32" t="n">
        <x:v>18788.8</x:v>
      </x:c>
    </x:row>
    <x:row r="338" ht="23" customHeight="1">
      <x:c r="A338" s="11" t="n">
        <x:v>10333</x:v>
      </x:c>
      <x:c r="B338" s="31" t="n">
        <x:v>29.6</x:v>
      </x:c>
      <x:c r="C338" s="31" t="n">
        <x:v>15.2</x:v>
      </x:c>
      <x:c r="D338" s="11" t="n">
        <x:v>1</x:v>
      </x:c>
      <x:c r="E338" s="11" t="n">
        <x:v>9</x:v>
      </x:c>
      <x:c r="F338" s="11" t="n">
        <x:v>1974</x:v>
      </x:c>
      <x:c r="G338" s="31" t="n">
        <x:v>21.3</x:v>
      </x:c>
      <x:c r="H338" s="11" t="n">
        <x:v>1707</x:v>
      </x:c>
      <x:c r="I338" s="11" t="n">
        <x:v>3</x:v>
      </x:c>
      <x:c r="J338" s="11" t="n">
        <x:v>585</x:v>
      </x:c>
      <x:c r="K338" s="9" t="str">
        <x:v>Вс</x:v>
      </x:c>
      <x:c r="L338" s="10" t="n">
        <x:v>49.39</x:v>
      </x:c>
      <x:c r="M338" s="31" t="n">
        <x:v>5441.4</x:v>
      </x:c>
    </x:row>
    <x:row r="339" ht="23" customHeight="1">
      <x:c r="A339" s="12" t="n">
        <x:v>10334</x:v>
      </x:c>
      <x:c r="B339" s="32" t="n">
        <x:v>41</x:v>
      </x:c>
      <x:c r="C339" s="32" t="n">
        <x:v>25.6</x:v>
      </x:c>
      <x:c r="D339" s="12" t="n">
        <x:v>2</x:v>
      </x:c>
      <x:c r="E339" s="12" t="n">
        <x:v>7</x:v>
      </x:c>
      <x:c r="F339" s="12" t="n">
        <x:v>1978</x:v>
      </x:c>
      <x:c r="G339" s="32" t="n">
        <x:v>19.8</x:v>
      </x:c>
      <x:c r="H339" s="12" t="n">
        <x:v>1483</x:v>
      </x:c>
      <x:c r="I339" s="12" t="n">
        <x:v>7</x:v>
      </x:c>
      <x:c r="J339" s="12" t="n">
        <x:v>505</x:v>
      </x:c>
      <x:c r="K339" s="3" t="str">
        <x:v>Чт</x:v>
      </x:c>
      <x:c r="L339" s="8" t="n">
        <x:v>31.19</x:v>
      </x:c>
      <x:c r="M339" s="32" t="n">
        <x:v>6983</x:v>
      </x:c>
    </x:row>
    <x:row r="340" ht="23" customHeight="1">
      <x:c r="A340" s="11" t="n">
        <x:v>10335</x:v>
      </x:c>
      <x:c r="B340" s="31" t="n">
        <x:v>33.2</x:v>
      </x:c>
      <x:c r="C340" s="31" t="n">
        <x:v>17.5</x:v>
      </x:c>
      <x:c r="D340" s="11" t="n">
        <x:v>1</x:v>
      </x:c>
      <x:c r="E340" s="11" t="n">
        <x:v>22</x:v>
      </x:c>
      <x:c r="F340" s="11" t="n">
        <x:v>1970</x:v>
      </x:c>
      <x:c r="G340" s="31" t="n">
        <x:v>10.9</x:v>
      </x:c>
      <x:c r="H340" s="11" t="n">
        <x:v>944</x:v>
      </x:c>
      <x:c r="I340" s="11" t="n">
        <x:v>5</x:v>
      </x:c>
      <x:c r="J340" s="11" t="n">
        <x:v>216</x:v>
      </x:c>
      <x:c r="K340" s="9" t="str">
        <x:v>Чт</x:v>
      </x:c>
      <x:c r="L340" s="10" t="n">
        <x:v>59.13</x:v>
      </x:c>
      <x:c r="M340" s="31" t="n">
        <x:v>6076.8</x:v>
      </x:c>
    </x:row>
    <x:row r="341" ht="23" customHeight="1">
      <x:c r="A341" s="12" t="n">
        <x:v>10336</x:v>
      </x:c>
      <x:c r="B341" s="32" t="n">
        <x:v>32.6</x:v>
      </x:c>
      <x:c r="C341" s="32" t="n">
        <x:v>18.2</x:v>
      </x:c>
      <x:c r="D341" s="12" t="n">
        <x:v>2</x:v>
      </x:c>
      <x:c r="E341" s="12" t="n">
        <x:v>17</x:v>
      </x:c>
      <x:c r="F341" s="12" t="n">
        <x:v>2005</x:v>
      </x:c>
      <x:c r="G341" s="32" t="n">
        <x:v>14.2</x:v>
      </x:c>
      <x:c r="H341" s="12" t="n">
        <x:v>1110</x:v>
      </x:c>
      <x:c r="I341" s="12" t="n">
        <x:v>1</x:v>
      </x:c>
      <x:c r="J341" s="12" t="n">
        <x:v>654</x:v>
      </x:c>
      <x:c r="K341" s="3" t="str">
        <x:v>Сб</x:v>
      </x:c>
      <x:c r="L341" s="8" t="n">
        <x:v>66.63</x:v>
      </x:c>
      <x:c r="M341" s="32" t="n">
        <x:v>6962.4</x:v>
      </x:c>
    </x:row>
    <x:row r="342" ht="23" customHeight="1">
      <x:c r="A342" s="11" t="n">
        <x:v>10337</x:v>
      </x:c>
      <x:c r="B342" s="31" t="n">
        <x:v>123.8</x:v>
      </x:c>
      <x:c r="C342" s="31" t="n">
        <x:v>78.5</x:v>
      </x:c>
      <x:c r="D342" s="11" t="n">
        <x:v>5</x:v>
      </x:c>
      <x:c r="E342" s="11" t="n">
        <x:v>17</x:v>
      </x:c>
      <x:c r="F342" s="11" t="n">
        <x:v>2004</x:v>
      </x:c>
      <x:c r="G342" s="31" t="n">
        <x:v>31.5</x:v>
      </x:c>
      <x:c r="H342" s="11" t="n">
        <x:v>2523</x:v>
      </x:c>
      <x:c r="I342" s="11" t="n">
        <x:v>3</x:v>
      </x:c>
      <x:c r="J342" s="11" t="n">
        <x:v>979</x:v>
      </x:c>
      <x:c r="K342" s="9" t="str">
        <x:v>Вт</x:v>
      </x:c>
      <x:c r="L342" s="10" t="n">
        <x:v>49.53</x:v>
      </x:c>
      <x:c r="M342" s="31" t="n">
        <x:v>22615</x:v>
      </x:c>
    </x:row>
    <x:row r="343" ht="23" customHeight="1">
      <x:c r="A343" s="12" t="n">
        <x:v>10338</x:v>
      </x:c>
      <x:c r="B343" s="32" t="n">
        <x:v>106.8</x:v>
      </x:c>
      <x:c r="C343" s="32" t="n">
        <x:v>65.7</x:v>
      </x:c>
      <x:c r="D343" s="12" t="n">
        <x:v>5</x:v>
      </x:c>
      <x:c r="E343" s="12" t="n">
        <x:v>2</x:v>
      </x:c>
      <x:c r="F343" s="12" t="n">
        <x:v>1971</x:v>
      </x:c>
      <x:c r="G343" s="32" t="n">
        <x:v>24</x:v>
      </x:c>
      <x:c r="H343" s="12" t="n">
        <x:v>1905</x:v>
      </x:c>
      <x:c r="I343" s="12" t="n">
        <x:v>5</x:v>
      </x:c>
      <x:c r="J343" s="12" t="n">
        <x:v>214</x:v>
      </x:c>
      <x:c r="K343" s="3" t="str">
        <x:v>Чт</x:v>
      </x:c>
      <x:c r="L343" s="8" t="n">
        <x:v>35.24</x:v>
      </x:c>
      <x:c r="M343" s="32" t="n">
        <x:v>17909</x:v>
      </x:c>
    </x:row>
    <x:row r="344" ht="23" customHeight="1">
      <x:c r="A344" s="11" t="n">
        <x:v>10339</x:v>
      </x:c>
      <x:c r="B344" s="31" t="n">
        <x:v>81.1</x:v>
      </x:c>
      <x:c r="C344" s="31" t="n">
        <x:v>46</x:v>
      </x:c>
      <x:c r="D344" s="11" t="n">
        <x:v>4</x:v>
      </x:c>
      <x:c r="E344" s="11" t="n">
        <x:v>6</x:v>
      </x:c>
      <x:c r="F344" s="11" t="n">
        <x:v>2009</x:v>
      </x:c>
      <x:c r="G344" s="31" t="n">
        <x:v>28</x:v>
      </x:c>
      <x:c r="H344" s="11" t="n">
        <x:v>2297</x:v>
      </x:c>
      <x:c r="I344" s="11" t="n">
        <x:v>7</x:v>
      </x:c>
      <x:c r="J344" s="11" t="n">
        <x:v>894</x:v>
      </x:c>
      <x:c r="K344" s="9" t="str">
        <x:v>Ср</x:v>
      </x:c>
      <x:c r="L344" s="10" t="n">
        <x:v>54.3</x:v>
      </x:c>
      <x:c r="M344" s="31" t="n">
        <x:v>15038.6</x:v>
      </x:c>
    </x:row>
    <x:row r="345" ht="23" customHeight="1">
      <x:c r="A345" s="12" t="n">
        <x:v>10340</x:v>
      </x:c>
      <x:c r="B345" s="32" t="n">
        <x:v>39</x:v>
      </x:c>
      <x:c r="C345" s="32" t="n">
        <x:v>22.6</x:v>
      </x:c>
      <x:c r="D345" s="12" t="n">
        <x:v>2</x:v>
      </x:c>
      <x:c r="E345" s="12" t="n">
        <x:v>14</x:v>
      </x:c>
      <x:c r="F345" s="12" t="n">
        <x:v>1992</x:v>
      </x:c>
      <x:c r="G345" s="32" t="n">
        <x:v>17</x:v>
      </x:c>
      <x:c r="H345" s="12" t="n">
        <x:v>1218</x:v>
      </x:c>
      <x:c r="I345" s="12" t="n">
        <x:v>3</x:v>
      </x:c>
      <x:c r="J345" s="12" t="n">
        <x:v>648</x:v>
      </x:c>
      <x:c r="K345" s="3" t="str">
        <x:v>Ср</x:v>
      </x:c>
      <x:c r="L345" s="8" t="n">
        <x:v>78.4</x:v>
      </x:c>
      <x:c r="M345" s="32" t="n">
        <x:v>7721.6</x:v>
      </x:c>
    </x:row>
    <x:row r="346" ht="23" customHeight="1">
      <x:c r="A346" s="11" t="n">
        <x:v>10341</x:v>
      </x:c>
      <x:c r="B346" s="31" t="n">
        <x:v>83.1</x:v>
      </x:c>
      <x:c r="C346" s="31" t="n">
        <x:v>45.4</x:v>
      </x:c>
      <x:c r="D346" s="11" t="n">
        <x:v>4</x:v>
      </x:c>
      <x:c r="E346" s="11" t="n">
        <x:v>6</x:v>
      </x:c>
      <x:c r="F346" s="11" t="n">
        <x:v>1978</x:v>
      </x:c>
      <x:c r="G346" s="31" t="n">
        <x:v>22.8</x:v>
      </x:c>
      <x:c r="H346" s="11" t="n">
        <x:v>1823</x:v>
      </x:c>
      <x:c r="I346" s="11" t="n">
        <x:v>6</x:v>
      </x:c>
      <x:c r="J346" s="11" t="n">
        <x:v>913</x:v>
      </x:c>
      <x:c r="K346" s="9" t="str">
        <x:v>Вт</x:v>
      </x:c>
      <x:c r="L346" s="10" t="n">
        <x:v>73.74</x:v>
      </x:c>
      <x:c r="M346" s="31" t="n">
        <x:v>13785.9</x:v>
      </x:c>
    </x:row>
    <x:row r="347" ht="23" customHeight="1">
      <x:c r="A347" s="12" t="n">
        <x:v>10342</x:v>
      </x:c>
      <x:c r="B347" s="32" t="n">
        <x:v>81</x:v>
      </x:c>
      <x:c r="C347" s="32" t="n">
        <x:v>52.9</x:v>
      </x:c>
      <x:c r="D347" s="12" t="n">
        <x:v>4</x:v>
      </x:c>
      <x:c r="E347" s="12" t="n">
        <x:v>2</x:v>
      </x:c>
      <x:c r="F347" s="12" t="n">
        <x:v>2003</x:v>
      </x:c>
      <x:c r="G347" s="32" t="n">
        <x:v>10.2</x:v>
      </x:c>
      <x:c r="H347" s="12" t="n">
        <x:v>811</x:v>
      </x:c>
      <x:c r="I347" s="12" t="n">
        <x:v>5</x:v>
      </x:c>
      <x:c r="J347" s="12" t="n">
        <x:v>724</x:v>
      </x:c>
      <x:c r="K347" s="3" t="str">
        <x:v>Пн</x:v>
      </x:c>
      <x:c r="L347" s="8" t="n">
        <x:v>28.91</x:v>
      </x:c>
      <x:c r="M347" s="32" t="n">
        <x:v>15744.4</x:v>
      </x:c>
    </x:row>
    <x:row r="348" ht="23" customHeight="1">
      <x:c r="A348" s="11" t="n">
        <x:v>10343</x:v>
      </x:c>
      <x:c r="B348" s="31" t="n">
        <x:v>47.4</x:v>
      </x:c>
      <x:c r="C348" s="31" t="n">
        <x:v>32.4</x:v>
      </x:c>
      <x:c r="D348" s="11" t="n">
        <x:v>2</x:v>
      </x:c>
      <x:c r="E348" s="11" t="n">
        <x:v>1</x:v>
      </x:c>
      <x:c r="F348" s="11" t="n">
        <x:v>2015</x:v>
      </x:c>
      <x:c r="G348" s="31" t="n">
        <x:v>25.3</x:v>
      </x:c>
      <x:c r="H348" s="11" t="n">
        <x:v>2001</x:v>
      </x:c>
      <x:c r="I348" s="11" t="n">
        <x:v>1</x:v>
      </x:c>
      <x:c r="J348" s="11" t="n">
        <x:v>646</x:v>
      </x:c>
      <x:c r="K348" s="9" t="str">
        <x:v>Вс</x:v>
      </x:c>
      <x:c r="L348" s="10" t="n">
        <x:v>28.35</x:v>
      </x:c>
      <x:c r="M348" s="31" t="n">
        <x:v>8833</x:v>
      </x:c>
    </x:row>
    <x:row r="349" ht="23" customHeight="1">
      <x:c r="A349" s="12" t="n">
        <x:v>10344</x:v>
      </x:c>
      <x:c r="B349" s="32" t="n">
        <x:v>76.6</x:v>
      </x:c>
      <x:c r="C349" s="32" t="n">
        <x:v>44.1</x:v>
      </x:c>
      <x:c r="D349" s="12" t="n">
        <x:v>3</x:v>
      </x:c>
      <x:c r="E349" s="12" t="n">
        <x:v>10</x:v>
      </x:c>
      <x:c r="F349" s="12" t="n">
        <x:v>1983</x:v>
      </x:c>
      <x:c r="G349" s="32" t="n">
        <x:v>16.1</x:v>
      </x:c>
      <x:c r="H349" s="12" t="n">
        <x:v>1374</x:v>
      </x:c>
      <x:c r="I349" s="12" t="n">
        <x:v>6</x:v>
      </x:c>
      <x:c r="J349" s="12" t="n">
        <x:v>743</x:v>
      </x:c>
      <x:c r="K349" s="3" t="str">
        <x:v>Пн</x:v>
      </x:c>
      <x:c r="L349" s="8" t="n">
        <x:v>24.51</x:v>
      </x:c>
      <x:c r="M349" s="32" t="n">
        <x:v>14543</x:v>
      </x:c>
    </x:row>
    <x:row r="350" ht="23" customHeight="1">
      <x:c r="A350" s="11" t="n">
        <x:v>10345</x:v>
      </x:c>
      <x:c r="B350" s="31" t="n">
        <x:v>72.6</x:v>
      </x:c>
      <x:c r="C350" s="31" t="n">
        <x:v>42.4</x:v>
      </x:c>
      <x:c r="D350" s="11" t="n">
        <x:v>3</x:v>
      </x:c>
      <x:c r="E350" s="11" t="n">
        <x:v>21</x:v>
      </x:c>
      <x:c r="F350" s="11" t="n">
        <x:v>1973</x:v>
      </x:c>
      <x:c r="G350" s="31" t="n">
        <x:v>16.6</x:v>
      </x:c>
      <x:c r="H350" s="11" t="n">
        <x:v>1284</x:v>
      </x:c>
      <x:c r="I350" s="11" t="n">
        <x:v>8</x:v>
      </x:c>
      <x:c r="J350" s="11" t="n">
        <x:v>435</x:v>
      </x:c>
      <x:c r="K350" s="9" t="str">
        <x:v>Ср</x:v>
      </x:c>
      <x:c r="L350" s="10" t="n">
        <x:v>32.95</x:v>
      </x:c>
      <x:c r="M350" s="31" t="n">
        <x:v>13854.7</x:v>
      </x:c>
    </x:row>
    <x:row r="351" ht="23" customHeight="1">
      <x:c r="A351" s="12" t="n">
        <x:v>10346</x:v>
      </x:c>
      <x:c r="B351" s="32" t="n">
        <x:v>97</x:v>
      </x:c>
      <x:c r="C351" s="32" t="n">
        <x:v>66.3</x:v>
      </x:c>
      <x:c r="D351" s="12" t="n">
        <x:v>5</x:v>
      </x:c>
      <x:c r="E351" s="12" t="n">
        <x:v>5</x:v>
      </x:c>
      <x:c r="F351" s="12" t="n">
        <x:v>1999</x:v>
      </x:c>
      <x:c r="G351" s="32" t="n">
        <x:v>23.4</x:v>
      </x:c>
      <x:c r="H351" s="12" t="n">
        <x:v>1911</x:v>
      </x:c>
      <x:c r="I351" s="12" t="n">
        <x:v>1</x:v>
      </x:c>
      <x:c r="J351" s="12" t="n">
        <x:v>435</x:v>
      </x:c>
      <x:c r="K351" s="3" t="str">
        <x:v>Чт</x:v>
      </x:c>
      <x:c r="L351" s="8" t="n">
        <x:v>53.77</x:v>
      </x:c>
      <x:c r="M351" s="32" t="n">
        <x:v>17673.8</x:v>
      </x:c>
    </x:row>
    <x:row r="352" ht="23" customHeight="1">
      <x:c r="A352" s="11" t="n">
        <x:v>10347</x:v>
      </x:c>
      <x:c r="B352" s="31" t="n">
        <x:v>99.1</x:v>
      </x:c>
      <x:c r="C352" s="31" t="n">
        <x:v>67.3</x:v>
      </x:c>
      <x:c r="D352" s="11" t="n">
        <x:v>4</x:v>
      </x:c>
      <x:c r="E352" s="11" t="n">
        <x:v>2</x:v>
      </x:c>
      <x:c r="F352" s="11" t="n">
        <x:v>2000</x:v>
      </x:c>
      <x:c r="G352" s="31" t="n">
        <x:v>32.9</x:v>
      </x:c>
      <x:c r="H352" s="11" t="n">
        <x:v>2650</x:v>
      </x:c>
      <x:c r="I352" s="11" t="n">
        <x:v>2</x:v>
      </x:c>
      <x:c r="J352" s="11" t="n">
        <x:v>988</x:v>
      </x:c>
      <x:c r="K352" s="9" t="str">
        <x:v>Вт</x:v>
      </x:c>
      <x:c r="L352" s="10" t="n">
        <x:v>41.65</x:v>
      </x:c>
      <x:c r="M352" s="31" t="n">
        <x:v>16424</x:v>
      </x:c>
    </x:row>
    <x:row r="353" ht="23" customHeight="1">
      <x:c r="A353" s="12" t="n">
        <x:v>10348</x:v>
      </x:c>
      <x:c r="B353" s="32" t="n">
        <x:v>33.1</x:v>
      </x:c>
      <x:c r="C353" s="32" t="n">
        <x:v>22</x:v>
      </x:c>
      <x:c r="D353" s="12" t="n">
        <x:v>2</x:v>
      </x:c>
      <x:c r="E353" s="12" t="n">
        <x:v>22</x:v>
      </x:c>
      <x:c r="F353" s="12" t="n">
        <x:v>2007</x:v>
      </x:c>
      <x:c r="G353" s="32" t="n">
        <x:v>4.1</x:v>
      </x:c>
      <x:c r="H353" s="12" t="n">
        <x:v>391</x:v>
      </x:c>
      <x:c r="I353" s="12" t="n">
        <x:v>4</x:v>
      </x:c>
      <x:c r="J353" s="12" t="n">
        <x:v>839</x:v>
      </x:c>
      <x:c r="K353" s="3" t="str">
        <x:v>Пн</x:v>
      </x:c>
      <x:c r="L353" s="8" t="n">
        <x:v>37.42</x:v>
      </x:c>
      <x:c r="M353" s="32" t="n">
        <x:v>9231.5</x:v>
      </x:c>
    </x:row>
    <x:row r="354" ht="23" customHeight="1">
      <x:c r="A354" s="11" t="n">
        <x:v>10349</x:v>
      </x:c>
      <x:c r="B354" s="31" t="n">
        <x:v>70</x:v>
      </x:c>
      <x:c r="C354" s="31" t="n">
        <x:v>37.3</x:v>
      </x:c>
      <x:c r="D354" s="11" t="n">
        <x:v>3</x:v>
      </x:c>
      <x:c r="E354" s="11" t="n">
        <x:v>16</x:v>
      </x:c>
      <x:c r="F354" s="11" t="n">
        <x:v>1980</x:v>
      </x:c>
      <x:c r="G354" s="31" t="n">
        <x:v>29.2</x:v>
      </x:c>
      <x:c r="H354" s="11" t="n">
        <x:v>2303</x:v>
      </x:c>
      <x:c r="I354" s="11" t="n">
        <x:v>2</x:v>
      </x:c>
      <x:c r="J354" s="11" t="n">
        <x:v>246</x:v>
      </x:c>
      <x:c r="K354" s="9" t="str">
        <x:v>Пн</x:v>
      </x:c>
      <x:c r="L354" s="10" t="n">
        <x:v>65.59</x:v>
      </x:c>
      <x:c r="M354" s="31" t="n">
        <x:v>12315.2</x:v>
      </x:c>
    </x:row>
    <x:row r="355" ht="23" customHeight="1">
      <x:c r="A355" s="12" t="n">
        <x:v>10350</x:v>
      </x:c>
      <x:c r="B355" s="32" t="n">
        <x:v>98.1</x:v>
      </x:c>
      <x:c r="C355" s="32" t="n">
        <x:v>55.3</x:v>
      </x:c>
      <x:c r="D355" s="12" t="n">
        <x:v>3</x:v>
      </x:c>
      <x:c r="E355" s="12" t="n">
        <x:v>25</x:v>
      </x:c>
      <x:c r="F355" s="12" t="n">
        <x:v>2004</x:v>
      </x:c>
      <x:c r="G355" s="32" t="n">
        <x:v>11.6</x:v>
      </x:c>
      <x:c r="H355" s="12" t="n">
        <x:v>891</x:v>
      </x:c>
      <x:c r="I355" s="12" t="n">
        <x:v>9</x:v>
      </x:c>
      <x:c r="J355" s="12" t="n">
        <x:v>221</x:v>
      </x:c>
      <x:c r="K355" s="3" t="str">
        <x:v>Вс</x:v>
      </x:c>
      <x:c r="L355" s="8" t="n">
        <x:v>57.95</x:v>
      </x:c>
      <x:c r="M355" s="32" t="n">
        <x:v>20032.8</x:v>
      </x:c>
    </x:row>
    <x:row r="356" ht="23" customHeight="1">
      <x:c r="A356" s="11" t="n">
        <x:v>10351</x:v>
      </x:c>
      <x:c r="B356" s="31" t="n">
        <x:v>84.4</x:v>
      </x:c>
      <x:c r="C356" s="31" t="n">
        <x:v>55.5</x:v>
      </x:c>
      <x:c r="D356" s="11" t="n">
        <x:v>3</x:v>
      </x:c>
      <x:c r="E356" s="11" t="n">
        <x:v>2</x:v>
      </x:c>
      <x:c r="F356" s="11" t="n">
        <x:v>1977</x:v>
      </x:c>
      <x:c r="G356" s="31" t="n">
        <x:v>16.6</x:v>
      </x:c>
      <x:c r="H356" s="11" t="n">
        <x:v>1383</x:v>
      </x:c>
      <x:c r="I356" s="11" t="n">
        <x:v>8</x:v>
      </x:c>
      <x:c r="J356" s="11" t="n">
        <x:v>180</x:v>
      </x:c>
      <x:c r="K356" s="9" t="str">
        <x:v>Пт</x:v>
      </x:c>
      <x:c r="L356" s="10" t="n">
        <x:v>24.43</x:v>
      </x:c>
      <x:c r="M356" s="31" t="n">
        <x:v>15034.9</x:v>
      </x:c>
    </x:row>
    <x:row r="357" ht="23" customHeight="1">
      <x:c r="A357" s="12" t="n">
        <x:v>10352</x:v>
      </x:c>
      <x:c r="B357" s="32" t="n">
        <x:v>123.9</x:v>
      </x:c>
      <x:c r="C357" s="32" t="n">
        <x:v>76.2</x:v>
      </x:c>
      <x:c r="D357" s="12" t="n">
        <x:v>5</x:v>
      </x:c>
      <x:c r="E357" s="12" t="n">
        <x:v>10</x:v>
      </x:c>
      <x:c r="F357" s="12" t="n">
        <x:v>1972</x:v>
      </x:c>
      <x:c r="G357" s="32" t="n">
        <x:v>2.7</x:v>
      </x:c>
      <x:c r="H357" s="12" t="n">
        <x:v>237</x:v>
      </x:c>
      <x:c r="I357" s="12" t="n">
        <x:v>8</x:v>
      </x:c>
      <x:c r="J357" s="12" t="n">
        <x:v>784</x:v>
      </x:c>
      <x:c r="K357" s="3" t="str">
        <x:v>Ср</x:v>
      </x:c>
      <x:c r="L357" s="8" t="n">
        <x:v>64.73</x:v>
      </x:c>
      <x:c r="M357" s="32" t="n">
        <x:v>23110.5</x:v>
      </x:c>
    </x:row>
    <x:row r="358" ht="23" customHeight="1">
      <x:c r="A358" s="11" t="n">
        <x:v>10353</x:v>
      </x:c>
      <x:c r="B358" s="31" t="n">
        <x:v>101.8</x:v>
      </x:c>
      <x:c r="C358" s="31" t="n">
        <x:v>56.1</x:v>
      </x:c>
      <x:c r="D358" s="11" t="n">
        <x:v>4</x:v>
      </x:c>
      <x:c r="E358" s="11" t="n">
        <x:v>2</x:v>
      </x:c>
      <x:c r="F358" s="11" t="n">
        <x:v>1983</x:v>
      </x:c>
      <x:c r="G358" s="31" t="n">
        <x:v>11.9</x:v>
      </x:c>
      <x:c r="H358" s="11" t="n">
        <x:v>875</x:v>
      </x:c>
      <x:c r="I358" s="11" t="n">
        <x:v>4</x:v>
      </x:c>
      <x:c r="J358" s="11" t="n">
        <x:v>765</x:v>
      </x:c>
      <x:c r="K358" s="9" t="str">
        <x:v>Чт</x:v>
      </x:c>
      <x:c r="L358" s="10" t="n">
        <x:v>57.59</x:v>
      </x:c>
      <x:c r="M358" s="31" t="n">
        <x:v>18792.8</x:v>
      </x:c>
    </x:row>
    <x:row r="359" ht="23" customHeight="1">
      <x:c r="A359" s="12" t="n">
        <x:v>10354</x:v>
      </x:c>
      <x:c r="B359" s="32" t="n">
        <x:v>46.2</x:v>
      </x:c>
      <x:c r="C359" s="32" t="n">
        <x:v>28.7</x:v>
      </x:c>
      <x:c r="D359" s="12" t="n">
        <x:v>2</x:v>
      </x:c>
      <x:c r="E359" s="12" t="n">
        <x:v>16</x:v>
      </x:c>
      <x:c r="F359" s="12" t="n">
        <x:v>1982</x:v>
      </x:c>
      <x:c r="G359" s="32" t="n">
        <x:v>18.6</x:v>
      </x:c>
      <x:c r="H359" s="12" t="n">
        <x:v>1461</x:v>
      </x:c>
      <x:c r="I359" s="12" t="n">
        <x:v>5</x:v>
      </x:c>
      <x:c r="J359" s="12" t="n">
        <x:v>761</x:v>
      </x:c>
      <x:c r="K359" s="3" t="str">
        <x:v>Вт</x:v>
      </x:c>
      <x:c r="L359" s="8" t="n">
        <x:v>57.92</x:v>
      </x:c>
      <x:c r="M359" s="32" t="n">
        <x:v>9229.4</x:v>
      </x:c>
    </x:row>
    <x:row r="360" ht="23" customHeight="1">
      <x:c r="A360" s="11" t="n">
        <x:v>10355</x:v>
      </x:c>
      <x:c r="B360" s="31" t="n">
        <x:v>35.9</x:v>
      </x:c>
      <x:c r="C360" s="31" t="n">
        <x:v>21.4</x:v>
      </x:c>
      <x:c r="D360" s="11" t="n">
        <x:v>1</x:v>
      </x:c>
      <x:c r="E360" s="11" t="n">
        <x:v>16</x:v>
      </x:c>
      <x:c r="F360" s="11" t="n">
        <x:v>2014</x:v>
      </x:c>
      <x:c r="G360" s="31" t="n">
        <x:v>3.9</x:v>
      </x:c>
      <x:c r="H360" s="11" t="n">
        <x:v>331</x:v>
      </x:c>
      <x:c r="I360" s="11" t="n">
        <x:v>4</x:v>
      </x:c>
      <x:c r="J360" s="11" t="n">
        <x:v>474</x:v>
      </x:c>
      <x:c r="K360" s="9" t="str">
        <x:v>Пн</x:v>
      </x:c>
      <x:c r="L360" s="10" t="n">
        <x:v>41.44</x:v>
      </x:c>
      <x:c r="M360" s="31" t="n">
        <x:v>10054.2</x:v>
      </x:c>
    </x:row>
    <x:row r="361" ht="23" customHeight="1">
      <x:c r="A361" s="12" t="n">
        <x:v>10356</x:v>
      </x:c>
      <x:c r="B361" s="32" t="n">
        <x:v>100</x:v>
      </x:c>
      <x:c r="C361" s="32" t="n">
        <x:v>64.7</x:v>
      </x:c>
      <x:c r="D361" s="12" t="n">
        <x:v>3</x:v>
      </x:c>
      <x:c r="E361" s="12" t="n">
        <x:v>19</x:v>
      </x:c>
      <x:c r="F361" s="12" t="n">
        <x:v>2001</x:v>
      </x:c>
      <x:c r="G361" s="32" t="n">
        <x:v>18.2</x:v>
      </x:c>
      <x:c r="H361" s="12" t="n">
        <x:v>1498</x:v>
      </x:c>
      <x:c r="I361" s="12" t="n">
        <x:v>9</x:v>
      </x:c>
      <x:c r="J361" s="12" t="n">
        <x:v>669</x:v>
      </x:c>
      <x:c r="K361" s="3" t="str">
        <x:v>Вс</x:v>
      </x:c>
      <x:c r="L361" s="8" t="n">
        <x:v>47.19</x:v>
      </x:c>
      <x:c r="M361" s="32" t="n">
        <x:v>18872.4</x:v>
      </x:c>
    </x:row>
    <x:row r="362" ht="23" customHeight="1">
      <x:c r="A362" s="11" t="n">
        <x:v>10357</x:v>
      </x:c>
      <x:c r="B362" s="31" t="n">
        <x:v>31</x:v>
      </x:c>
      <x:c r="C362" s="31" t="n">
        <x:v>17</x:v>
      </x:c>
      <x:c r="D362" s="11" t="n">
        <x:v>1</x:v>
      </x:c>
      <x:c r="E362" s="11" t="n">
        <x:v>7</x:v>
      </x:c>
      <x:c r="F362" s="11" t="n">
        <x:v>2003</x:v>
      </x:c>
      <x:c r="G362" s="31" t="n">
        <x:v>32.6</x:v>
      </x:c>
      <x:c r="H362" s="11" t="n">
        <x:v>2574</x:v>
      </x:c>
      <x:c r="I362" s="11" t="n">
        <x:v>2</x:v>
      </x:c>
      <x:c r="J362" s="11" t="n">
        <x:v>162</x:v>
      </x:c>
      <x:c r="K362" s="9" t="str">
        <x:v>Пт</x:v>
      </x:c>
      <x:c r="L362" s="10" t="n">
        <x:v>20.41</x:v>
      </x:c>
      <x:c r="M362" s="31" t="n">
        <x:v>5268.1</x:v>
      </x:c>
    </x:row>
    <x:row r="363" ht="23" customHeight="1">
      <x:c r="A363" s="12" t="n">
        <x:v>10358</x:v>
      </x:c>
      <x:c r="B363" s="32" t="n">
        <x:v>93.6</x:v>
      </x:c>
      <x:c r="C363" s="32" t="n">
        <x:v>51.4</x:v>
      </x:c>
      <x:c r="D363" s="12" t="n">
        <x:v>3</x:v>
      </x:c>
      <x:c r="E363" s="12" t="n">
        <x:v>22</x:v>
      </x:c>
      <x:c r="F363" s="12" t="n">
        <x:v>2014</x:v>
      </x:c>
      <x:c r="G363" s="32" t="n">
        <x:v>5.5</x:v>
      </x:c>
      <x:c r="H363" s="12" t="n">
        <x:v>294</x:v>
      </x:c>
      <x:c r="I363" s="12" t="n">
        <x:v>8</x:v>
      </x:c>
      <x:c r="J363" s="12" t="n">
        <x:v>603</x:v>
      </x:c>
      <x:c r="K363" s="3" t="str">
        <x:v>Ср</x:v>
      </x:c>
      <x:c r="L363" s="8" t="n">
        <x:v>63</x:v>
      </x:c>
      <x:c r="M363" s="32" t="n">
        <x:v>19560.7</x:v>
      </x:c>
    </x:row>
    <x:row r="364" ht="23" customHeight="1">
      <x:c r="A364" s="11" t="n">
        <x:v>10359</x:v>
      </x:c>
      <x:c r="B364" s="31" t="n">
        <x:v>133.3</x:v>
      </x:c>
      <x:c r="C364" s="31" t="n">
        <x:v>86.9</x:v>
      </x:c>
      <x:c r="D364" s="11" t="n">
        <x:v>5</x:v>
      </x:c>
      <x:c r="E364" s="11" t="n">
        <x:v>12</x:v>
      </x:c>
      <x:c r="F364" s="11" t="n">
        <x:v>1988</x:v>
      </x:c>
      <x:c r="G364" s="31" t="n">
        <x:v>27.2</x:v>
      </x:c>
      <x:c r="H364" s="11" t="n">
        <x:v>2202</x:v>
      </x:c>
      <x:c r="I364" s="11" t="n">
        <x:v>2</x:v>
      </x:c>
      <x:c r="J364" s="11" t="n">
        <x:v>767</x:v>
      </x:c>
      <x:c r="K364" s="9" t="str">
        <x:v>Ср</x:v>
      </x:c>
      <x:c r="L364" s="10" t="n">
        <x:v>35.02</x:v>
      </x:c>
      <x:c r="M364" s="31" t="n">
        <x:v>22814.4</x:v>
      </x:c>
    </x:row>
    <x:row r="365" ht="23" customHeight="1">
      <x:c r="A365" s="12" t="n">
        <x:v>10360</x:v>
      </x:c>
      <x:c r="B365" s="32" t="n">
        <x:v>92.5</x:v>
      </x:c>
      <x:c r="C365" s="32" t="n">
        <x:v>57</x:v>
      </x:c>
      <x:c r="D365" s="12" t="n">
        <x:v>4</x:v>
      </x:c>
      <x:c r="E365" s="12" t="n">
        <x:v>24</x:v>
      </x:c>
      <x:c r="F365" s="12" t="n">
        <x:v>2007</x:v>
      </x:c>
      <x:c r="G365" s="32" t="n">
        <x:v>15.5</x:v>
      </x:c>
      <x:c r="H365" s="12" t="n">
        <x:v>1179</x:v>
      </x:c>
      <x:c r="I365" s="12" t="n">
        <x:v>1</x:v>
      </x:c>
      <x:c r="J365" s="12" t="n">
        <x:v>548</x:v>
      </x:c>
      <x:c r="K365" s="3" t="str">
        <x:v>Вс</x:v>
      </x:c>
      <x:c r="L365" s="8" t="n">
        <x:v>36.94</x:v>
      </x:c>
      <x:c r="M365" s="32" t="n">
        <x:v>18968.3</x:v>
      </x:c>
    </x:row>
    <x:row r="366" ht="23" customHeight="1">
      <x:c r="A366" s="11" t="n">
        <x:v>10361</x:v>
      </x:c>
      <x:c r="B366" s="31" t="n">
        <x:v>71.5</x:v>
      </x:c>
      <x:c r="C366" s="31" t="n">
        <x:v>48.3</x:v>
      </x:c>
      <x:c r="D366" s="11" t="n">
        <x:v>3</x:v>
      </x:c>
      <x:c r="E366" s="11" t="n">
        <x:v>15</x:v>
      </x:c>
      <x:c r="F366" s="11" t="n">
        <x:v>1985</x:v>
      </x:c>
      <x:c r="G366" s="31" t="n">
        <x:v>23.6</x:v>
      </x:c>
      <x:c r="H366" s="11" t="n">
        <x:v>1787</x:v>
      </x:c>
      <x:c r="I366" s="11" t="n">
        <x:v>3</x:v>
      </x:c>
      <x:c r="J366" s="11" t="n">
        <x:v>527</x:v>
      </x:c>
      <x:c r="K366" s="9" t="str">
        <x:v>Вт</x:v>
      </x:c>
      <x:c r="L366" s="10" t="n">
        <x:v>36.74</x:v>
      </x:c>
      <x:c r="M366" s="31" t="n">
        <x:v>12391</x:v>
      </x:c>
    </x:row>
    <x:row r="367" ht="23" customHeight="1">
      <x:c r="A367" s="12" t="n">
        <x:v>10362</x:v>
      </x:c>
      <x:c r="B367" s="32" t="n">
        <x:v>100</x:v>
      </x:c>
      <x:c r="C367" s="32" t="n">
        <x:v>62.7</x:v>
      </x:c>
      <x:c r="D367" s="12" t="n">
        <x:v>4</x:v>
      </x:c>
      <x:c r="E367" s="12" t="n">
        <x:v>8</x:v>
      </x:c>
      <x:c r="F367" s="12" t="n">
        <x:v>1971</x:v>
      </x:c>
      <x:c r="G367" s="32" t="n">
        <x:v>10.6</x:v>
      </x:c>
      <x:c r="H367" s="12" t="n">
        <x:v>706</x:v>
      </x:c>
      <x:c r="I367" s="12" t="n">
        <x:v>9</x:v>
      </x:c>
      <x:c r="J367" s="12" t="n">
        <x:v>967</x:v>
      </x:c>
      <x:c r="K367" s="3" t="str">
        <x:v>Пн</x:v>
      </x:c>
      <x:c r="L367" s="8" t="n">
        <x:v>77.01</x:v>
      </x:c>
      <x:c r="M367" s="32" t="n">
        <x:v>18418.6</x:v>
      </x:c>
    </x:row>
    <x:row r="368" ht="23" customHeight="1">
      <x:c r="A368" s="11" t="n">
        <x:v>10363</x:v>
      </x:c>
      <x:c r="B368" s="31" t="n">
        <x:v>79.3</x:v>
      </x:c>
      <x:c r="C368" s="31" t="n">
        <x:v>46</x:v>
      </x:c>
      <x:c r="D368" s="11" t="n">
        <x:v>3</x:v>
      </x:c>
      <x:c r="E368" s="11" t="n">
        <x:v>6</x:v>
      </x:c>
      <x:c r="F368" s="11" t="n">
        <x:v>2009</x:v>
      </x:c>
      <x:c r="G368" s="31" t="n">
        <x:v>7.3</x:v>
      </x:c>
      <x:c r="H368" s="11" t="n">
        <x:v>625</x:v>
      </x:c>
      <x:c r="I368" s="11" t="n">
        <x:v>3</x:v>
      </x:c>
      <x:c r="J368" s="11" t="n">
        <x:v>526</x:v>
      </x:c>
      <x:c r="K368" s="9" t="str">
        <x:v>Вт</x:v>
      </x:c>
      <x:c r="L368" s="10" t="n">
        <x:v>39.97</x:v>
      </x:c>
      <x:c r="M368" s="31" t="n">
        <x:v>16261.4</x:v>
      </x:c>
    </x:row>
    <x:row r="369" ht="23" customHeight="1">
      <x:c r="A369" s="12" t="n">
        <x:v>10364</x:v>
      </x:c>
      <x:c r="B369" s="32" t="n">
        <x:v>89.1</x:v>
      </x:c>
      <x:c r="C369" s="32" t="n">
        <x:v>57.4</x:v>
      </x:c>
      <x:c r="D369" s="12" t="n">
        <x:v>4</x:v>
      </x:c>
      <x:c r="E369" s="12" t="n">
        <x:v>10</x:v>
      </x:c>
      <x:c r="F369" s="12" t="n">
        <x:v>1986</x:v>
      </x:c>
      <x:c r="G369" s="32" t="n">
        <x:v>7.3</x:v>
      </x:c>
      <x:c r="H369" s="12" t="n">
        <x:v>590</x:v>
      </x:c>
      <x:c r="I369" s="12" t="n">
        <x:v>9</x:v>
      </x:c>
      <x:c r="J369" s="12" t="n">
        <x:v>520</x:v>
      </x:c>
      <x:c r="K369" s="3" t="str">
        <x:v>Вс</x:v>
      </x:c>
      <x:c r="L369" s="8" t="n">
        <x:v>64.13</x:v>
      </x:c>
      <x:c r="M369" s="32" t="n">
        <x:v>17104.2</x:v>
      </x:c>
    </x:row>
    <x:row r="370" ht="23" customHeight="1">
      <x:c r="A370" s="11" t="n">
        <x:v>10365</x:v>
      </x:c>
      <x:c r="B370" s="31" t="n">
        <x:v>133.4</x:v>
      </x:c>
      <x:c r="C370" s="31" t="n">
        <x:v>80.3</x:v>
      </x:c>
      <x:c r="D370" s="11" t="n">
        <x:v>5</x:v>
      </x:c>
      <x:c r="E370" s="11" t="n">
        <x:v>3</x:v>
      </x:c>
      <x:c r="F370" s="11" t="n">
        <x:v>2003</x:v>
      </x:c>
      <x:c r="G370" s="31" t="n">
        <x:v>4.3</x:v>
      </x:c>
      <x:c r="H370" s="11" t="n">
        <x:v>333</x:v>
      </x:c>
      <x:c r="I370" s="11" t="n">
        <x:v>7</x:v>
      </x:c>
      <x:c r="J370" s="11" t="n">
        <x:v>421</x:v>
      </x:c>
      <x:c r="K370" s="9" t="str">
        <x:v>Вс</x:v>
      </x:c>
      <x:c r="L370" s="10" t="n">
        <x:v>49.64</x:v>
      </x:c>
      <x:c r="M370" s="31" t="n">
        <x:v>25930.3</x:v>
      </x:c>
    </x:row>
    <x:row r="371" ht="23" customHeight="1">
      <x:c r="A371" s="12" t="n">
        <x:v>10366</x:v>
      </x:c>
      <x:c r="B371" s="32" t="n">
        <x:v>71.2</x:v>
      </x:c>
      <x:c r="C371" s="32" t="n">
        <x:v>46.8</x:v>
      </x:c>
      <x:c r="D371" s="12" t="n">
        <x:v>2</x:v>
      </x:c>
      <x:c r="E371" s="12" t="n">
        <x:v>19</x:v>
      </x:c>
      <x:c r="F371" s="12" t="n">
        <x:v>2011</x:v>
      </x:c>
      <x:c r="G371" s="32" t="n">
        <x:v>8.1</x:v>
      </x:c>
      <x:c r="H371" s="12" t="n">
        <x:v>717</x:v>
      </x:c>
      <x:c r="I371" s="12" t="n">
        <x:v>1</x:v>
      </x:c>
      <x:c r="J371" s="12" t="n">
        <x:v>779</x:v>
      </x:c>
      <x:c r="K371" s="3" t="str">
        <x:v>Вт</x:v>
      </x:c>
      <x:c r="L371" s="8" t="n">
        <x:v>37.56</x:v>
      </x:c>
      <x:c r="M371" s="32" t="n">
        <x:v>15660.9</x:v>
      </x:c>
    </x:row>
    <x:row r="372" ht="23" customHeight="1">
      <x:c r="A372" s="11" t="n">
        <x:v>10367</x:v>
      </x:c>
      <x:c r="B372" s="31" t="n">
        <x:v>135.7</x:v>
      </x:c>
      <x:c r="C372" s="31" t="n">
        <x:v>84.7</x:v>
      </x:c>
      <x:c r="D372" s="11" t="n">
        <x:v>5</x:v>
      </x:c>
      <x:c r="E372" s="11" t="n">
        <x:v>17</x:v>
      </x:c>
      <x:c r="F372" s="11" t="n">
        <x:v>1985</x:v>
      </x:c>
      <x:c r="G372" s="31" t="n">
        <x:v>23.9</x:v>
      </x:c>
      <x:c r="H372" s="11" t="n">
        <x:v>1944</x:v>
      </x:c>
      <x:c r="I372" s="11" t="n">
        <x:v>5</x:v>
      </x:c>
      <x:c r="J372" s="11" t="n">
        <x:v>265</x:v>
      </x:c>
      <x:c r="K372" s="9" t="str">
        <x:v>Сб</x:v>
      </x:c>
      <x:c r="L372" s="10" t="n">
        <x:v>34.84</x:v>
      </x:c>
      <x:c r="M372" s="31" t="n">
        <x:v>23875.3</x:v>
      </x:c>
    </x:row>
    <x:row r="373" ht="23" customHeight="1">
      <x:c r="A373" s="12" t="n">
        <x:v>10368</x:v>
      </x:c>
      <x:c r="B373" s="32" t="n">
        <x:v>129.4</x:v>
      </x:c>
      <x:c r="C373" s="32" t="n">
        <x:v>83.1</x:v>
      </x:c>
      <x:c r="D373" s="12" t="n">
        <x:v>5</x:v>
      </x:c>
      <x:c r="E373" s="12" t="n">
        <x:v>7</x:v>
      </x:c>
      <x:c r="F373" s="12" t="n">
        <x:v>2007</x:v>
      </x:c>
      <x:c r="G373" s="32" t="n">
        <x:v>31.1</x:v>
      </x:c>
      <x:c r="H373" s="12" t="n">
        <x:v>2569</x:v>
      </x:c>
      <x:c r="I373" s="12" t="n">
        <x:v>9</x:v>
      </x:c>
      <x:c r="J373" s="12" t="n">
        <x:v>696</x:v>
      </x:c>
      <x:c r="K373" s="3" t="str">
        <x:v>Пт</x:v>
      </x:c>
      <x:c r="L373" s="8" t="n">
        <x:v>40.57</x:v>
      </x:c>
      <x:c r="M373" s="32" t="n">
        <x:v>22482.9</x:v>
      </x:c>
    </x:row>
    <x:row r="374" ht="23" customHeight="1">
      <x:c r="A374" s="11" t="n">
        <x:v>10369</x:v>
      </x:c>
      <x:c r="B374" s="31" t="n">
        <x:v>49.9</x:v>
      </x:c>
      <x:c r="C374" s="31" t="n">
        <x:v>29.5</x:v>
      </x:c>
      <x:c r="D374" s="11" t="n">
        <x:v>2</x:v>
      </x:c>
      <x:c r="E374" s="11" t="n">
        <x:v>21</x:v>
      </x:c>
      <x:c r="F374" s="11" t="n">
        <x:v>1971</x:v>
      </x:c>
      <x:c r="G374" s="31" t="n">
        <x:v>28.9</x:v>
      </x:c>
      <x:c r="H374" s="11" t="n">
        <x:v>2242</x:v>
      </x:c>
      <x:c r="I374" s="11" t="n">
        <x:v>3</x:v>
      </x:c>
      <x:c r="J374" s="11" t="n">
        <x:v>748</x:v>
      </x:c>
      <x:c r="K374" s="9" t="str">
        <x:v>Ср</x:v>
      </x:c>
      <x:c r="L374" s="10" t="n">
        <x:v>48.88</x:v>
      </x:c>
      <x:c r="M374" s="31" t="n">
        <x:v>7960.6</x:v>
      </x:c>
    </x:row>
    <x:row r="375" ht="23" customHeight="1">
      <x:c r="A375" s="12" t="n">
        <x:v>10370</x:v>
      </x:c>
      <x:c r="B375" s="32" t="n">
        <x:v>35.8</x:v>
      </x:c>
      <x:c r="C375" s="32" t="n">
        <x:v>21.3</x:v>
      </x:c>
      <x:c r="D375" s="12" t="n">
        <x:v>1</x:v>
      </x:c>
      <x:c r="E375" s="12" t="n">
        <x:v>20</x:v>
      </x:c>
      <x:c r="F375" s="12" t="n">
        <x:v>1971</x:v>
      </x:c>
      <x:c r="G375" s="32" t="n">
        <x:v>24.6</x:v>
      </x:c>
      <x:c r="H375" s="12" t="n">
        <x:v>1966</x:v>
      </x:c>
      <x:c r="I375" s="12" t="n">
        <x:v>9</x:v>
      </x:c>
      <x:c r="J375" s="12" t="n">
        <x:v>560</x:v>
      </x:c>
      <x:c r="K375" s="3" t="str">
        <x:v>Сб</x:v>
      </x:c>
      <x:c r="L375" s="8" t="n">
        <x:v>59.03</x:v>
      </x:c>
      <x:c r="M375" s="32" t="n">
        <x:v>5528</x:v>
      </x:c>
    </x:row>
    <x:row r="376" ht="23" customHeight="1">
      <x:c r="A376" s="11" t="n">
        <x:v>10371</x:v>
      </x:c>
      <x:c r="B376" s="31" t="n">
        <x:v>39.3</x:v>
      </x:c>
      <x:c r="C376" s="31" t="n">
        <x:v>26.3</x:v>
      </x:c>
      <x:c r="D376" s="11" t="n">
        <x:v>2</x:v>
      </x:c>
      <x:c r="E376" s="11" t="n">
        <x:v>4</x:v>
      </x:c>
      <x:c r="F376" s="11" t="n">
        <x:v>1995</x:v>
      </x:c>
      <x:c r="G376" s="31" t="n">
        <x:v>5.6</x:v>
      </x:c>
      <x:c r="H376" s="11" t="n">
        <x:v>367</x:v>
      </x:c>
      <x:c r="I376" s="11" t="n">
        <x:v>5</x:v>
      </x:c>
      <x:c r="J376" s="11" t="n">
        <x:v>558</x:v>
      </x:c>
      <x:c r="K376" s="9" t="str">
        <x:v>Чт</x:v>
      </x:c>
      <x:c r="L376" s="10" t="n">
        <x:v>42.94</x:v>
      </x:c>
      <x:c r="M376" s="31" t="n">
        <x:v>9745.2</x:v>
      </x:c>
    </x:row>
    <x:row r="377" ht="23" customHeight="1">
      <x:c r="A377" s="12" t="n">
        <x:v>10372</x:v>
      </x:c>
      <x:c r="B377" s="32" t="n">
        <x:v>30</x:v>
      </x:c>
      <x:c r="C377" s="32" t="n">
        <x:v>18</x:v>
      </x:c>
      <x:c r="D377" s="12" t="n">
        <x:v>1</x:v>
      </x:c>
      <x:c r="E377" s="12" t="n">
        <x:v>14</x:v>
      </x:c>
      <x:c r="F377" s="12" t="n">
        <x:v>1982</x:v>
      </x:c>
      <x:c r="G377" s="32" t="n">
        <x:v>11.5</x:v>
      </x:c>
      <x:c r="H377" s="12" t="n">
        <x:v>909</x:v>
      </x:c>
      <x:c r="I377" s="12" t="n">
        <x:v>9</x:v>
      </x:c>
      <x:c r="J377" s="12" t="n">
        <x:v>288</x:v>
      </x:c>
      <x:c r="K377" s="3" t="str">
        <x:v>Ср</x:v>
      </x:c>
      <x:c r="L377" s="8" t="n">
        <x:v>42.37</x:v>
      </x:c>
      <x:c r="M377" s="32" t="n">
        <x:v>6360.5</x:v>
      </x:c>
    </x:row>
    <x:row r="378" ht="23" customHeight="1">
      <x:c r="A378" s="11" t="n">
        <x:v>10373</x:v>
      </x:c>
      <x:c r="B378" s="31" t="n">
        <x:v>38.6</x:v>
      </x:c>
      <x:c r="C378" s="31" t="n">
        <x:v>21.7</x:v>
      </x:c>
      <x:c r="D378" s="11" t="n">
        <x:v>1</x:v>
      </x:c>
      <x:c r="E378" s="11" t="n">
        <x:v>20</x:v>
      </x:c>
      <x:c r="F378" s="11" t="n">
        <x:v>2016</x:v>
      </x:c>
      <x:c r="G378" s="31" t="n">
        <x:v>12.2</x:v>
      </x:c>
      <x:c r="H378" s="11" t="n">
        <x:v>964</x:v>
      </x:c>
      <x:c r="I378" s="11" t="n">
        <x:v>6</x:v>
      </x:c>
      <x:c r="J378" s="11" t="n">
        <x:v>563</x:v>
      </x:c>
      <x:c r="K378" s="9" t="str">
        <x:v>Ср</x:v>
      </x:c>
      <x:c r="L378" s="10" t="n">
        <x:v>36.78</x:v>
      </x:c>
      <x:c r="M378" s="31" t="n">
        <x:v>9265.4</x:v>
      </x:c>
    </x:row>
    <x:row r="379" ht="23" customHeight="1">
      <x:c r="A379" s="12" t="n">
        <x:v>10374</x:v>
      </x:c>
      <x:c r="B379" s="32" t="n">
        <x:v>104.5</x:v>
      </x:c>
      <x:c r="C379" s="32" t="n">
        <x:v>61.8</x:v>
      </x:c>
      <x:c r="D379" s="12" t="n">
        <x:v>4</x:v>
      </x:c>
      <x:c r="E379" s="12" t="n">
        <x:v>22</x:v>
      </x:c>
      <x:c r="F379" s="12" t="n">
        <x:v>2000</x:v>
      </x:c>
      <x:c r="G379" s="32" t="n">
        <x:v>10.2</x:v>
      </x:c>
      <x:c r="H379" s="12" t="n">
        <x:v>847</x:v>
      </x:c>
      <x:c r="I379" s="12" t="n">
        <x:v>9</x:v>
      </x:c>
      <x:c r="J379" s="12" t="n">
        <x:v>478</x:v>
      </x:c>
      <x:c r="K379" s="3" t="str">
        <x:v>Пт</x:v>
      </x:c>
      <x:c r="L379" s="8" t="n">
        <x:v>32.09</x:v>
      </x:c>
      <x:c r="M379" s="32" t="n">
        <x:v>21497.2</x:v>
      </x:c>
    </x:row>
    <x:row r="380" ht="23" customHeight="1">
      <x:c r="A380" s="11" t="n">
        <x:v>10375</x:v>
      </x:c>
      <x:c r="B380" s="31" t="n">
        <x:v>36</x:v>
      </x:c>
      <x:c r="C380" s="31" t="n">
        <x:v>26.2</x:v>
      </x:c>
      <x:c r="D380" s="11" t="n">
        <x:v>1</x:v>
      </x:c>
      <x:c r="E380" s="11" t="n">
        <x:v>15</x:v>
      </x:c>
      <x:c r="F380" s="11" t="n">
        <x:v>2003</x:v>
      </x:c>
      <x:c r="G380" s="31" t="n">
        <x:v>19</x:v>
      </x:c>
      <x:c r="H380" s="11" t="n">
        <x:v>1522</x:v>
      </x:c>
      <x:c r="I380" s="11" t="n">
        <x:v>7</x:v>
      </x:c>
      <x:c r="J380" s="11" t="n">
        <x:v>101</x:v>
      </x:c>
      <x:c r="K380" s="9" t="str">
        <x:v>Чт</x:v>
      </x:c>
      <x:c r="L380" s="10" t="n">
        <x:v>30.83</x:v>
      </x:c>
      <x:c r="M380" s="31" t="n">
        <x:v>8112.5</x:v>
      </x:c>
    </x:row>
    <x:row r="381" ht="23" customHeight="1">
      <x:c r="A381" s="12" t="n">
        <x:v>10376</x:v>
      </x:c>
      <x:c r="B381" s="32" t="n">
        <x:v>63.7</x:v>
      </x:c>
      <x:c r="C381" s="32" t="n">
        <x:v>42.3</x:v>
      </x:c>
      <x:c r="D381" s="12" t="n">
        <x:v>2</x:v>
      </x:c>
      <x:c r="E381" s="12" t="n">
        <x:v>24</x:v>
      </x:c>
      <x:c r="F381" s="12" t="n">
        <x:v>2008</x:v>
      </x:c>
      <x:c r="G381" s="32" t="n">
        <x:v>19.7</x:v>
      </x:c>
      <x:c r="H381" s="12" t="n">
        <x:v>1607</x:v>
      </x:c>
      <x:c r="I381" s="12" t="n">
        <x:v>7</x:v>
      </x:c>
      <x:c r="J381" s="12" t="n">
        <x:v>717</x:v>
      </x:c>
      <x:c r="K381" s="3" t="str">
        <x:v>Пн</x:v>
      </x:c>
      <x:c r="L381" s="8" t="n">
        <x:v>64.82</x:v>
      </x:c>
      <x:c r="M381" s="32" t="n">
        <x:v>12562.5</x:v>
      </x:c>
    </x:row>
    <x:row r="382" ht="23" customHeight="1">
      <x:c r="A382" s="11" t="n">
        <x:v>10377</x:v>
      </x:c>
      <x:c r="B382" s="31" t="n">
        <x:v>122.6</x:v>
      </x:c>
      <x:c r="C382" s="31" t="n">
        <x:v>68.6</x:v>
      </x:c>
      <x:c r="D382" s="11" t="n">
        <x:v>5</x:v>
      </x:c>
      <x:c r="E382" s="11" t="n">
        <x:v>8</x:v>
      </x:c>
      <x:c r="F382" s="11" t="n">
        <x:v>1972</x:v>
      </x:c>
      <x:c r="G382" s="31" t="n">
        <x:v>13.8</x:v>
      </x:c>
      <x:c r="H382" s="11" t="n">
        <x:v>1139</x:v>
      </x:c>
      <x:c r="I382" s="11" t="n">
        <x:v>8</x:v>
      </x:c>
      <x:c r="J382" s="11" t="n">
        <x:v>463</x:v>
      </x:c>
      <x:c r="K382" s="9" t="str">
        <x:v>Чт</x:v>
      </x:c>
      <x:c r="L382" s="10" t="n">
        <x:v>42.07</x:v>
      </x:c>
      <x:c r="M382" s="31" t="n">
        <x:v>21538.1</x:v>
      </x:c>
    </x:row>
    <x:row r="383" ht="23" customHeight="1">
      <x:c r="A383" s="12" t="n">
        <x:v>10378</x:v>
      </x:c>
      <x:c r="B383" s="32" t="n">
        <x:v>30.6</x:v>
      </x:c>
      <x:c r="C383" s="32" t="n">
        <x:v>18.7</x:v>
      </x:c>
      <x:c r="D383" s="12" t="n">
        <x:v>2</x:v>
      </x:c>
      <x:c r="E383" s="12" t="n">
        <x:v>21</x:v>
      </x:c>
      <x:c r="F383" s="12" t="n">
        <x:v>1977</x:v>
      </x:c>
      <x:c r="G383" s="32" t="n">
        <x:v>13.7</x:v>
      </x:c>
      <x:c r="H383" s="12" t="n">
        <x:v>1204</x:v>
      </x:c>
      <x:c r="I383" s="12" t="n">
        <x:v>7</x:v>
      </x:c>
      <x:c r="J383" s="12" t="n">
        <x:v>171</x:v>
      </x:c>
      <x:c r="K383" s="3" t="str">
        <x:v>Пн</x:v>
      </x:c>
      <x:c r="L383" s="8" t="n">
        <x:v>43.4</x:v>
      </x:c>
      <x:c r="M383" s="32" t="n">
        <x:v>6501.9</x:v>
      </x:c>
    </x:row>
    <x:row r="384" ht="23" customHeight="1">
      <x:c r="A384" s="11" t="n">
        <x:v>10379</x:v>
      </x:c>
      <x:c r="B384" s="31" t="n">
        <x:v>119.2</x:v>
      </x:c>
      <x:c r="C384" s="31" t="n">
        <x:v>69.5</x:v>
      </x:c>
      <x:c r="D384" s="11" t="n">
        <x:v>4</x:v>
      </x:c>
      <x:c r="E384" s="11" t="n">
        <x:v>15</x:v>
      </x:c>
      <x:c r="F384" s="11" t="n">
        <x:v>1992</x:v>
      </x:c>
      <x:c r="G384" s="31" t="n">
        <x:v>29.3</x:v>
      </x:c>
      <x:c r="H384" s="11" t="n">
        <x:v>2328</x:v>
      </x:c>
      <x:c r="I384" s="11" t="n">
        <x:v>9</x:v>
      </x:c>
      <x:c r="J384" s="11" t="n">
        <x:v>526</x:v>
      </x:c>
      <x:c r="K384" s="9" t="str">
        <x:v>Чт</x:v>
      </x:c>
      <x:c r="L384" s="10" t="n">
        <x:v>40</x:v>
      </x:c>
      <x:c r="M384" s="31" t="n">
        <x:v>20886.1</x:v>
      </x:c>
    </x:row>
    <x:row r="385" ht="23" customHeight="1">
      <x:c r="A385" s="12" t="n">
        <x:v>10380</x:v>
      </x:c>
      <x:c r="B385" s="32" t="n">
        <x:v>59.6</x:v>
      </x:c>
      <x:c r="C385" s="32" t="n">
        <x:v>41.5</x:v>
      </x:c>
      <x:c r="D385" s="12" t="n">
        <x:v>3</x:v>
      </x:c>
      <x:c r="E385" s="12" t="n">
        <x:v>22</x:v>
      </x:c>
      <x:c r="F385" s="12" t="n">
        <x:v>1983</x:v>
      </x:c>
      <x:c r="G385" s="32" t="n">
        <x:v>28</x:v>
      </x:c>
      <x:c r="H385" s="12" t="n">
        <x:v>2193</x:v>
      </x:c>
      <x:c r="I385" s="12" t="n">
        <x:v>9</x:v>
      </x:c>
      <x:c r="J385" s="12" t="n">
        <x:v>737</x:v>
      </x:c>
      <x:c r="K385" s="3" t="str">
        <x:v>Вт</x:v>
      </x:c>
      <x:c r="L385" s="8" t="n">
        <x:v>45.25</x:v>
      </x:c>
      <x:c r="M385" s="32" t="n">
        <x:v>10695.6</x:v>
      </x:c>
    </x:row>
    <x:row r="386" ht="23" customHeight="1">
      <x:c r="A386" s="11" t="n">
        <x:v>10381</x:v>
      </x:c>
      <x:c r="B386" s="31" t="n">
        <x:v>41.2</x:v>
      </x:c>
      <x:c r="C386" s="31" t="n">
        <x:v>22.1</x:v>
      </x:c>
      <x:c r="D386" s="11" t="n">
        <x:v>2</x:v>
      </x:c>
      <x:c r="E386" s="11" t="n">
        <x:v>20</x:v>
      </x:c>
      <x:c r="F386" s="11" t="n">
        <x:v>1996</x:v>
      </x:c>
      <x:c r="G386" s="31" t="n">
        <x:v>12.2</x:v>
      </x:c>
      <x:c r="H386" s="11" t="n">
        <x:v>988</x:v>
      </x:c>
      <x:c r="I386" s="11" t="n">
        <x:v>6</x:v>
      </x:c>
      <x:c r="J386" s="11" t="n">
        <x:v>269</x:v>
      </x:c>
      <x:c r="K386" s="9" t="str">
        <x:v>Вс</x:v>
      </x:c>
      <x:c r="L386" s="10" t="n">
        <x:v>55.57</x:v>
      </x:c>
      <x:c r="M386" s="31" t="n">
        <x:v>8822.8</x:v>
      </x:c>
    </x:row>
    <x:row r="387" ht="23" customHeight="1">
      <x:c r="A387" s="12" t="n">
        <x:v>10382</x:v>
      </x:c>
      <x:c r="B387" s="32" t="n">
        <x:v>106</x:v>
      </x:c>
      <x:c r="C387" s="32" t="n">
        <x:v>61.4</x:v>
      </x:c>
      <x:c r="D387" s="12" t="n">
        <x:v>5</x:v>
      </x:c>
      <x:c r="E387" s="12" t="n">
        <x:v>14</x:v>
      </x:c>
      <x:c r="F387" s="12" t="n">
        <x:v>2023</x:v>
      </x:c>
      <x:c r="G387" s="32" t="n">
        <x:v>32.2</x:v>
      </x:c>
      <x:c r="H387" s="12" t="n">
        <x:v>2536</x:v>
      </x:c>
      <x:c r="I387" s="12" t="n">
        <x:v>7</x:v>
      </x:c>
      <x:c r="J387" s="12" t="n">
        <x:v>304</x:v>
      </x:c>
      <x:c r="K387" s="3" t="str">
        <x:v>Чт</x:v>
      </x:c>
      <x:c r="L387" s="8" t="n">
        <x:v>42.7</x:v>
      </x:c>
      <x:c r="M387" s="32" t="n">
        <x:v>19971.5</x:v>
      </x:c>
    </x:row>
    <x:row r="388" ht="23" customHeight="1">
      <x:c r="A388" s="11" t="n">
        <x:v>10383</x:v>
      </x:c>
      <x:c r="B388" s="31" t="n">
        <x:v>98.4</x:v>
      </x:c>
      <x:c r="C388" s="31" t="n">
        <x:v>64.5</x:v>
      </x:c>
      <x:c r="D388" s="11" t="n">
        <x:v>4</x:v>
      </x:c>
      <x:c r="E388" s="11" t="n">
        <x:v>9</x:v>
      </x:c>
      <x:c r="F388" s="11" t="n">
        <x:v>1998</x:v>
      </x:c>
      <x:c r="G388" s="31" t="n">
        <x:v>33.4</x:v>
      </x:c>
      <x:c r="H388" s="11" t="n">
        <x:v>2746</x:v>
      </x:c>
      <x:c r="I388" s="11" t="n">
        <x:v>2</x:v>
      </x:c>
      <x:c r="J388" s="11" t="n">
        <x:v>924</x:v>
      </x:c>
      <x:c r="K388" s="9" t="str">
        <x:v>Сб</x:v>
      </x:c>
      <x:c r="L388" s="10" t="n">
        <x:v>52.71</x:v>
      </x:c>
      <x:c r="M388" s="31" t="n">
        <x:v>15979.8</x:v>
      </x:c>
    </x:row>
    <x:row r="389" ht="23" customHeight="1">
      <x:c r="A389" s="12" t="n">
        <x:v>10384</x:v>
      </x:c>
      <x:c r="B389" s="32" t="n">
        <x:v>126.3</x:v>
      </x:c>
      <x:c r="C389" s="32" t="n">
        <x:v>69.3</x:v>
      </x:c>
      <x:c r="D389" s="12" t="n">
        <x:v>5</x:v>
      </x:c>
      <x:c r="E389" s="12" t="n">
        <x:v>8</x:v>
      </x:c>
      <x:c r="F389" s="12" t="n">
        <x:v>2008</x:v>
      </x:c>
      <x:c r="G389" s="32" t="n">
        <x:v>12.8</x:v>
      </x:c>
      <x:c r="H389" s="12" t="n">
        <x:v>1010</x:v>
      </x:c>
      <x:c r="I389" s="12" t="n">
        <x:v>9</x:v>
      </x:c>
      <x:c r="J389" s="12" t="n">
        <x:v>436</x:v>
      </x:c>
      <x:c r="K389" s="3" t="str">
        <x:v>Сб</x:v>
      </x:c>
      <x:c r="L389" s="8" t="n">
        <x:v>71.27</x:v>
      </x:c>
      <x:c r="M389" s="32" t="n">
        <x:v>24187</x:v>
      </x:c>
    </x:row>
    <x:row r="390" ht="23" customHeight="1">
      <x:c r="A390" s="11" t="n">
        <x:v>10385</x:v>
      </x:c>
      <x:c r="B390" s="31" t="n">
        <x:v>110.3</x:v>
      </x:c>
      <x:c r="C390" s="31" t="n">
        <x:v>68.8</x:v>
      </x:c>
      <x:c r="D390" s="11" t="n">
        <x:v>5</x:v>
      </x:c>
      <x:c r="E390" s="11" t="n">
        <x:v>17</x:v>
      </x:c>
      <x:c r="F390" s="11" t="n">
        <x:v>2022</x:v>
      </x:c>
      <x:c r="G390" s="31" t="n">
        <x:v>13.7</x:v>
      </x:c>
      <x:c r="H390" s="11" t="n">
        <x:v>1068</x:v>
      </x:c>
      <x:c r="I390" s="11" t="n">
        <x:v>1</x:v>
      </x:c>
      <x:c r="J390" s="11" t="n">
        <x:v>571</x:v>
      </x:c>
      <x:c r="K390" s="9" t="str">
        <x:v>Пт</x:v>
      </x:c>
      <x:c r="L390" s="10" t="n">
        <x:v>37.71</x:v>
      </x:c>
      <x:c r="M390" s="31" t="n">
        <x:v>21903.3</x:v>
      </x:c>
    </x:row>
    <x:row r="391" ht="23" customHeight="1">
      <x:c r="A391" s="12" t="n">
        <x:v>10386</x:v>
      </x:c>
      <x:c r="B391" s="32" t="n">
        <x:v>118</x:v>
      </x:c>
      <x:c r="C391" s="32" t="n">
        <x:v>72.4</x:v>
      </x:c>
      <x:c r="D391" s="12" t="n">
        <x:v>5</x:v>
      </x:c>
      <x:c r="E391" s="12" t="n">
        <x:v>2</x:v>
      </x:c>
      <x:c r="F391" s="12" t="n">
        <x:v>2008</x:v>
      </x:c>
      <x:c r="G391" s="32" t="n">
        <x:v>18.7</x:v>
      </x:c>
      <x:c r="H391" s="12" t="n">
        <x:v>1472</x:v>
      </x:c>
      <x:c r="I391" s="12" t="n">
        <x:v>1</x:v>
      </x:c>
      <x:c r="J391" s="12" t="n">
        <x:v>294</x:v>
      </x:c>
      <x:c r="K391" s="3" t="str">
        <x:v>Вс</x:v>
      </x:c>
      <x:c r="L391" s="8" t="n">
        <x:v>43.41</x:v>
      </x:c>
      <x:c r="M391" s="32" t="n">
        <x:v>21918.7</x:v>
      </x:c>
    </x:row>
    <x:row r="392" ht="23" customHeight="1">
      <x:c r="A392" s="11" t="n">
        <x:v>10387</x:v>
      </x:c>
      <x:c r="B392" s="31" t="n">
        <x:v>59.6</x:v>
      </x:c>
      <x:c r="C392" s="31" t="n">
        <x:v>35.2</x:v>
      </x:c>
      <x:c r="D392" s="11" t="n">
        <x:v>3</x:v>
      </x:c>
      <x:c r="E392" s="11" t="n">
        <x:v>25</x:v>
      </x:c>
      <x:c r="F392" s="11" t="n">
        <x:v>1970</x:v>
      </x:c>
      <x:c r="G392" s="31" t="n">
        <x:v>33.1</x:v>
      </x:c>
      <x:c r="H392" s="11" t="n">
        <x:v>2684</x:v>
      </x:c>
      <x:c r="I392" s="11" t="n">
        <x:v>3</x:v>
      </x:c>
      <x:c r="J392" s="11" t="n">
        <x:v>769</x:v>
      </x:c>
      <x:c r="K392" s="9" t="str">
        <x:v>Вс</x:v>
      </x:c>
      <x:c r="L392" s="10" t="n">
        <x:v>59.62</x:v>
      </x:c>
      <x:c r="M392" s="31" t="n">
        <x:v>9239.2</x:v>
      </x:c>
    </x:row>
    <x:row r="393" ht="23" customHeight="1">
      <x:c r="A393" s="12" t="n">
        <x:v>10388</x:v>
      </x:c>
      <x:c r="B393" s="32" t="n">
        <x:v>47.9</x:v>
      </x:c>
      <x:c r="C393" s="32" t="n">
        <x:v>28.1</x:v>
      </x:c>
      <x:c r="D393" s="12" t="n">
        <x:v>2</x:v>
      </x:c>
      <x:c r="E393" s="12" t="n">
        <x:v>24</x:v>
      </x:c>
      <x:c r="F393" s="12" t="n">
        <x:v>1986</x:v>
      </x:c>
      <x:c r="G393" s="32" t="n">
        <x:v>30.9</x:v>
      </x:c>
      <x:c r="H393" s="12" t="n">
        <x:v>2464</x:v>
      </x:c>
      <x:c r="I393" s="12" t="n">
        <x:v>6</x:v>
      </x:c>
      <x:c r="J393" s="12" t="n">
        <x:v>752</x:v>
      </x:c>
      <x:c r="K393" s="3" t="str">
        <x:v>Пн</x:v>
      </x:c>
      <x:c r="L393" s="8" t="n">
        <x:v>72.46</x:v>
      </x:c>
      <x:c r="M393" s="32" t="n">
        <x:v>8659.3</x:v>
      </x:c>
    </x:row>
    <x:row r="394" ht="23" customHeight="1">
      <x:c r="A394" s="11" t="n">
        <x:v>10389</x:v>
      </x:c>
      <x:c r="B394" s="31" t="n">
        <x:v>112.1</x:v>
      </x:c>
      <x:c r="C394" s="31" t="n">
        <x:v>71</x:v>
      </x:c>
      <x:c r="D394" s="11" t="n">
        <x:v>5</x:v>
      </x:c>
      <x:c r="E394" s="11" t="n">
        <x:v>3</x:v>
      </x:c>
      <x:c r="F394" s="11" t="n">
        <x:v>2010</x:v>
      </x:c>
      <x:c r="G394" s="31" t="n">
        <x:v>5.4</x:v>
      </x:c>
      <x:c r="H394" s="11" t="n">
        <x:v>400</x:v>
      </x:c>
      <x:c r="I394" s="11" t="n">
        <x:v>5</x:v>
      </x:c>
      <x:c r="J394" s="11" t="n">
        <x:v>374</x:v>
      </x:c>
      <x:c r="K394" s="9" t="str">
        <x:v>Ср</x:v>
      </x:c>
      <x:c r="L394" s="10" t="n">
        <x:v>31.37</x:v>
      </x:c>
      <x:c r="M394" s="31" t="n">
        <x:v>21945.2</x:v>
      </x:c>
    </x:row>
    <x:row r="395" ht="23" customHeight="1">
      <x:c r="A395" s="12" t="n">
        <x:v>10390</x:v>
      </x:c>
      <x:c r="B395" s="32" t="n">
        <x:v>118.4</x:v>
      </x:c>
      <x:c r="C395" s="32" t="n">
        <x:v>70.5</x:v>
      </x:c>
      <x:c r="D395" s="12" t="n">
        <x:v>4</x:v>
      </x:c>
      <x:c r="E395" s="12" t="n">
        <x:v>8</x:v>
      </x:c>
      <x:c r="F395" s="12" t="n">
        <x:v>1999</x:v>
      </x:c>
      <x:c r="G395" s="32" t="n">
        <x:v>15</x:v>
      </x:c>
      <x:c r="H395" s="12" t="n">
        <x:v>1283</x:v>
      </x:c>
      <x:c r="I395" s="12" t="n">
        <x:v>2</x:v>
      </x:c>
      <x:c r="J395" s="12" t="n">
        <x:v>106</x:v>
      </x:c>
      <x:c r="K395" s="3" t="str">
        <x:v>Пт</x:v>
      </x:c>
      <x:c r="L395" s="8" t="n">
        <x:v>24.49</x:v>
      </x:c>
      <x:c r="M395" s="32" t="n">
        <x:v>21275.4</x:v>
      </x:c>
    </x:row>
    <x:row r="396" ht="23" customHeight="1">
      <x:c r="A396" s="11" t="n">
        <x:v>10391</x:v>
      </x:c>
      <x:c r="B396" s="31" t="n">
        <x:v>138.9</x:v>
      </x:c>
      <x:c r="C396" s="31" t="n">
        <x:v>88.5</x:v>
      </x:c>
      <x:c r="D396" s="11" t="n">
        <x:v>5</x:v>
      </x:c>
      <x:c r="E396" s="11" t="n">
        <x:v>12</x:v>
      </x:c>
      <x:c r="F396" s="11" t="n">
        <x:v>2022</x:v>
      </x:c>
      <x:c r="G396" s="31" t="n">
        <x:v>20.3</x:v>
      </x:c>
      <x:c r="H396" s="11" t="n">
        <x:v>1581</x:v>
      </x:c>
      <x:c r="I396" s="11" t="n">
        <x:v>9</x:v>
      </x:c>
      <x:c r="J396" s="11" t="n">
        <x:v>665</x:v>
      </x:c>
      <x:c r="K396" s="9" t="str">
        <x:v>Сб</x:v>
      </x:c>
      <x:c r="L396" s="10" t="n">
        <x:v>49.99</x:v>
      </x:c>
      <x:c r="M396" s="31" t="n">
        <x:v>25991.9</x:v>
      </x:c>
    </x:row>
    <x:row r="397" ht="23" customHeight="1">
      <x:c r="A397" s="12" t="n">
        <x:v>10392</x:v>
      </x:c>
      <x:c r="B397" s="32" t="n">
        <x:v>74.2</x:v>
      </x:c>
      <x:c r="C397" s="32" t="n">
        <x:v>51.3</x:v>
      </x:c>
      <x:c r="D397" s="12" t="n">
        <x:v>3</x:v>
      </x:c>
      <x:c r="E397" s="12" t="n">
        <x:v>1</x:v>
      </x:c>
      <x:c r="F397" s="12" t="n">
        <x:v>1982</x:v>
      </x:c>
      <x:c r="G397" s="32" t="n">
        <x:v>18.6</x:v>
      </x:c>
      <x:c r="H397" s="12" t="n">
        <x:v>1490</x:v>
      </x:c>
      <x:c r="I397" s="12" t="n">
        <x:v>4</x:v>
      </x:c>
      <x:c r="J397" s="12" t="n">
        <x:v>715</x:v>
      </x:c>
      <x:c r="K397" s="3" t="str">
        <x:v>Сб</x:v>
      </x:c>
      <x:c r="L397" s="8" t="n">
        <x:v>48.44</x:v>
      </x:c>
      <x:c r="M397" s="32" t="n">
        <x:v>13738.1</x:v>
      </x:c>
    </x:row>
    <x:row r="398" ht="23" customHeight="1">
      <x:c r="A398" s="11" t="n">
        <x:v>10393</x:v>
      </x:c>
      <x:c r="B398" s="31" t="n">
        <x:v>69.7</x:v>
      </x:c>
      <x:c r="C398" s="31" t="n">
        <x:v>44.2</x:v>
      </x:c>
      <x:c r="D398" s="11" t="n">
        <x:v>4</x:v>
      </x:c>
      <x:c r="E398" s="11" t="n">
        <x:v>10</x:v>
      </x:c>
      <x:c r="F398" s="11" t="n">
        <x:v>1990</x:v>
      </x:c>
      <x:c r="G398" s="31" t="n">
        <x:v>8.4</x:v>
      </x:c>
      <x:c r="H398" s="11" t="n">
        <x:v>705</x:v>
      </x:c>
      <x:c r="I398" s="11" t="n">
        <x:v>4</x:v>
      </x:c>
      <x:c r="J398" s="11" t="n">
        <x:v>953</x:v>
      </x:c>
      <x:c r="K398" s="9" t="str">
        <x:v>Пн</x:v>
      </x:c>
      <x:c r="L398" s="10" t="n">
        <x:v>60.5</x:v>
      </x:c>
      <x:c r="M398" s="31" t="n">
        <x:v>13259.3</x:v>
      </x:c>
    </x:row>
    <x:row r="399" ht="23" customHeight="1">
      <x:c r="A399" s="12" t="n">
        <x:v>10394</x:v>
      </x:c>
      <x:c r="B399" s="32" t="n">
        <x:v>115</x:v>
      </x:c>
      <x:c r="C399" s="32" t="n">
        <x:v>66.1</x:v>
      </x:c>
      <x:c r="D399" s="12" t="n">
        <x:v>4</x:v>
      </x:c>
      <x:c r="E399" s="12" t="n">
        <x:v>20</x:v>
      </x:c>
      <x:c r="F399" s="12" t="n">
        <x:v>1988</x:v>
      </x:c>
      <x:c r="G399" s="32" t="n">
        <x:v>30.3</x:v>
      </x:c>
      <x:c r="H399" s="12" t="n">
        <x:v>2342</x:v>
      </x:c>
      <x:c r="I399" s="12" t="n">
        <x:v>5</x:v>
      </x:c>
      <x:c r="J399" s="12" t="n">
        <x:v>949</x:v>
      </x:c>
      <x:c r="K399" s="3" t="str">
        <x:v>Сб</x:v>
      </x:c>
      <x:c r="L399" s="8" t="n">
        <x:v>58.21</x:v>
      </x:c>
      <x:c r="M399" s="32" t="n">
        <x:v>19699.1</x:v>
      </x:c>
    </x:row>
    <x:row r="400" ht="23" customHeight="1">
      <x:c r="A400" s="11" t="n">
        <x:v>10395</x:v>
      </x:c>
      <x:c r="B400" s="31" t="n">
        <x:v>66.2</x:v>
      </x:c>
      <x:c r="C400" s="31" t="n">
        <x:v>36.2</x:v>
      </x:c>
      <x:c r="D400" s="11" t="n">
        <x:v>4</x:v>
      </x:c>
      <x:c r="E400" s="11" t="n">
        <x:v>3</x:v>
      </x:c>
      <x:c r="F400" s="11" t="n">
        <x:v>2022</x:v>
      </x:c>
      <x:c r="G400" s="31" t="n">
        <x:v>24.3</x:v>
      </x:c>
      <x:c r="H400" s="11" t="n">
        <x:v>1968</x:v>
      </x:c>
      <x:c r="I400" s="11" t="n">
        <x:v>8</x:v>
      </x:c>
      <x:c r="J400" s="11" t="n">
        <x:v>672</x:v>
      </x:c>
      <x:c r="K400" s="9" t="str">
        <x:v>Сб</x:v>
      </x:c>
      <x:c r="L400" s="10" t="n">
        <x:v>49.49</x:v>
      </x:c>
      <x:c r="M400" s="31" t="n">
        <x:v>13554.3</x:v>
      </x:c>
    </x:row>
    <x:row r="401" ht="23" customHeight="1">
      <x:c r="A401" s="12" t="n">
        <x:v>10396</x:v>
      </x:c>
      <x:c r="B401" s="32" t="n">
        <x:v>132.2</x:v>
      </x:c>
      <x:c r="C401" s="32" t="n">
        <x:v>75.8</x:v>
      </x:c>
      <x:c r="D401" s="12" t="n">
        <x:v>5</x:v>
      </x:c>
      <x:c r="E401" s="12" t="n">
        <x:v>6</x:v>
      </x:c>
      <x:c r="F401" s="12" t="n">
        <x:v>1988</x:v>
      </x:c>
      <x:c r="G401" s="32" t="n">
        <x:v>29.7</x:v>
      </x:c>
      <x:c r="H401" s="12" t="n">
        <x:v>2323</x:v>
      </x:c>
      <x:c r="I401" s="12" t="n">
        <x:v>4</x:v>
      </x:c>
      <x:c r="J401" s="12" t="n">
        <x:v>698</x:v>
      </x:c>
      <x:c r="K401" s="3" t="str">
        <x:v>Пн</x:v>
      </x:c>
      <x:c r="L401" s="8" t="n">
        <x:v>65.74</x:v>
      </x:c>
      <x:c r="M401" s="32" t="n">
        <x:v>22717.2</x:v>
      </x:c>
    </x:row>
    <x:row r="402" ht="23" customHeight="1">
      <x:c r="A402" s="11" t="n">
        <x:v>10397</x:v>
      </x:c>
      <x:c r="B402" s="31" t="n">
        <x:v>124.1</x:v>
      </x:c>
      <x:c r="C402" s="31" t="n">
        <x:v>73.9</x:v>
      </x:c>
      <x:c r="D402" s="11" t="n">
        <x:v>5</x:v>
      </x:c>
      <x:c r="E402" s="11" t="n">
        <x:v>7</x:v>
      </x:c>
      <x:c r="F402" s="11" t="n">
        <x:v>1994</x:v>
      </x:c>
      <x:c r="G402" s="31" t="n">
        <x:v>30.3</x:v>
      </x:c>
      <x:c r="H402" s="11" t="n">
        <x:v>2465</x:v>
      </x:c>
      <x:c r="I402" s="11" t="n">
        <x:v>5</x:v>
      </x:c>
      <x:c r="J402" s="11" t="n">
        <x:v>869</x:v>
      </x:c>
      <x:c r="K402" s="9" t="str">
        <x:v>Сб</x:v>
      </x:c>
      <x:c r="L402" s="10" t="n">
        <x:v>39.78</x:v>
      </x:c>
      <x:c r="M402" s="31" t="n">
        <x:v>22066.9</x:v>
      </x:c>
    </x:row>
    <x:row r="403" ht="23" customHeight="1">
      <x:c r="A403" s="12" t="n">
        <x:v>10398</x:v>
      </x:c>
      <x:c r="B403" s="32" t="n">
        <x:v>76</x:v>
      </x:c>
      <x:c r="C403" s="32" t="n">
        <x:v>48.2</x:v>
      </x:c>
      <x:c r="D403" s="12" t="n">
        <x:v>3</x:v>
      </x:c>
      <x:c r="E403" s="12" t="n">
        <x:v>20</x:v>
      </x:c>
      <x:c r="F403" s="12" t="n">
        <x:v>1991</x:v>
      </x:c>
      <x:c r="G403" s="32" t="n">
        <x:v>26.7</x:v>
      </x:c>
      <x:c r="H403" s="12" t="n">
        <x:v>2088</x:v>
      </x:c>
      <x:c r="I403" s="12" t="n">
        <x:v>4</x:v>
      </x:c>
      <x:c r="J403" s="12" t="n">
        <x:v>277</x:v>
      </x:c>
      <x:c r="K403" s="3" t="str">
        <x:v>Ср</x:v>
      </x:c>
      <x:c r="L403" s="8" t="n">
        <x:v>53.17</x:v>
      </x:c>
      <x:c r="M403" s="32" t="n">
        <x:v>12692.8</x:v>
      </x:c>
    </x:row>
    <x:row r="404" ht="23" customHeight="1">
      <x:c r="A404" s="11" t="n">
        <x:v>10399</x:v>
      </x:c>
      <x:c r="B404" s="31" t="n">
        <x:v>112.1</x:v>
      </x:c>
      <x:c r="C404" s="31" t="n">
        <x:v>74.5</x:v>
      </x:c>
      <x:c r="D404" s="11" t="n">
        <x:v>4</x:v>
      </x:c>
      <x:c r="E404" s="11" t="n">
        <x:v>23</x:v>
      </x:c>
      <x:c r="F404" s="11" t="n">
        <x:v>2000</x:v>
      </x:c>
      <x:c r="G404" s="31" t="n">
        <x:v>16.5</x:v>
      </x:c>
      <x:c r="H404" s="11" t="n">
        <x:v>1355</x:v>
      </x:c>
      <x:c r="I404" s="11" t="n">
        <x:v>6</x:v>
      </x:c>
      <x:c r="J404" s="11" t="n">
        <x:v>341</x:v>
      </x:c>
      <x:c r="K404" s="9" t="str">
        <x:v>Вт</x:v>
      </x:c>
      <x:c r="L404" s="10" t="n">
        <x:v>31.76</x:v>
      </x:c>
      <x:c r="M404" s="31" t="n">
        <x:v>21215.3</x:v>
      </x:c>
    </x:row>
    <x:row r="405" ht="23" customHeight="1">
      <x:c r="A405" s="12" t="n">
        <x:v>10400</x:v>
      </x:c>
      <x:c r="B405" s="32" t="n">
        <x:v>112.5</x:v>
      </x:c>
      <x:c r="C405" s="32" t="n">
        <x:v>63.2</x:v>
      </x:c>
      <x:c r="D405" s="12" t="n">
        <x:v>5</x:v>
      </x:c>
      <x:c r="E405" s="12" t="n">
        <x:v>25</x:v>
      </x:c>
      <x:c r="F405" s="12" t="n">
        <x:v>1986</x:v>
      </x:c>
      <x:c r="G405" s="32" t="n">
        <x:v>22.1</x:v>
      </x:c>
      <x:c r="H405" s="12" t="n">
        <x:v>1823</x:v>
      </x:c>
      <x:c r="I405" s="12" t="n">
        <x:v>3</x:v>
      </x:c>
      <x:c r="J405" s="12" t="n">
        <x:v>302</x:v>
      </x:c>
      <x:c r="K405" s="3" t="str">
        <x:v>Пт</x:v>
      </x:c>
      <x:c r="L405" s="8" t="n">
        <x:v>49.37</x:v>
      </x:c>
      <x:c r="M405" s="32" t="n">
        <x:v>20909.7</x:v>
      </x:c>
    </x:row>
    <x:row r="406" ht="23" customHeight="1">
      <x:c r="A406" s="11" t="n">
        <x:v>10401</x:v>
      </x:c>
      <x:c r="B406" s="31" t="n">
        <x:v>39.5</x:v>
      </x:c>
      <x:c r="C406" s="31" t="n">
        <x:v>19.6</x:v>
      </x:c>
      <x:c r="D406" s="11" t="n">
        <x:v>2</x:v>
      </x:c>
      <x:c r="E406" s="11" t="n">
        <x:v>18</x:v>
      </x:c>
      <x:c r="F406" s="11" t="n">
        <x:v>1992</x:v>
      </x:c>
      <x:c r="G406" s="31" t="n">
        <x:v>7.3</x:v>
      </x:c>
      <x:c r="H406" s="11" t="n">
        <x:v>627</x:v>
      </x:c>
      <x:c r="I406" s="11" t="n">
        <x:v>8</x:v>
      </x:c>
      <x:c r="J406" s="11" t="n">
        <x:v>642</x:v>
      </x:c>
      <x:c r="K406" s="9" t="str">
        <x:v>Ср</x:v>
      </x:c>
      <x:c r="L406" s="10" t="n">
        <x:v>28.08</x:v>
      </x:c>
      <x:c r="M406" s="31" t="n">
        <x:v>8561.9</x:v>
      </x:c>
    </x:row>
    <x:row r="407" ht="23" customHeight="1">
      <x:c r="A407" s="12" t="n">
        <x:v>10402</x:v>
      </x:c>
      <x:c r="B407" s="32" t="n">
        <x:v>129.1</x:v>
      </x:c>
      <x:c r="C407" s="32" t="n">
        <x:v>78.3</x:v>
      </x:c>
      <x:c r="D407" s="12" t="n">
        <x:v>5</x:v>
      </x:c>
      <x:c r="E407" s="12" t="n">
        <x:v>11</x:v>
      </x:c>
      <x:c r="F407" s="12" t="n">
        <x:v>2001</x:v>
      </x:c>
      <x:c r="G407" s="32" t="n">
        <x:v>24.2</x:v>
      </x:c>
      <x:c r="H407" s="12" t="n">
        <x:v>1949</x:v>
      </x:c>
      <x:c r="I407" s="12" t="n">
        <x:v>6</x:v>
      </x:c>
      <x:c r="J407" s="12" t="n">
        <x:v>900</x:v>
      </x:c>
      <x:c r="K407" s="3" t="str">
        <x:v>Ср</x:v>
      </x:c>
      <x:c r="L407" s="8" t="n">
        <x:v>33.26</x:v>
      </x:c>
      <x:c r="M407" s="32" t="n">
        <x:v>23874.2</x:v>
      </x:c>
    </x:row>
    <x:row r="408" ht="23" customHeight="1">
      <x:c r="A408" s="11" t="n">
        <x:v>10403</x:v>
      </x:c>
      <x:c r="B408" s="31" t="n">
        <x:v>84.6</x:v>
      </x:c>
      <x:c r="C408" s="31" t="n">
        <x:v>55.8</x:v>
      </x:c>
      <x:c r="D408" s="11" t="n">
        <x:v>3</x:v>
      </x:c>
      <x:c r="E408" s="11" t="n">
        <x:v>19</x:v>
      </x:c>
      <x:c r="F408" s="11" t="n">
        <x:v>1979</x:v>
      </x:c>
      <x:c r="G408" s="31" t="n">
        <x:v>7.9</x:v>
      </x:c>
      <x:c r="H408" s="11" t="n">
        <x:v>620</x:v>
      </x:c>
      <x:c r="I408" s="11" t="n">
        <x:v>5</x:v>
      </x:c>
      <x:c r="J408" s="11" t="n">
        <x:v>561</x:v>
      </x:c>
      <x:c r="K408" s="9" t="str">
        <x:v>Вт</x:v>
      </x:c>
      <x:c r="L408" s="10" t="n">
        <x:v>75.64</x:v>
      </x:c>
      <x:c r="M408" s="31" t="n">
        <x:v>16233.4</x:v>
      </x:c>
    </x:row>
    <x:row r="409" ht="23" customHeight="1">
      <x:c r="A409" s="12" t="n">
        <x:v>10404</x:v>
      </x:c>
      <x:c r="B409" s="32" t="n">
        <x:v>120.6</x:v>
      </x:c>
      <x:c r="C409" s="32" t="n">
        <x:v>70.1</x:v>
      </x:c>
      <x:c r="D409" s="12" t="n">
        <x:v>5</x:v>
      </x:c>
      <x:c r="E409" s="12" t="n">
        <x:v>5</x:v>
      </x:c>
      <x:c r="F409" s="12" t="n">
        <x:v>1979</x:v>
      </x:c>
      <x:c r="G409" s="32" t="n">
        <x:v>24.9</x:v>
      </x:c>
      <x:c r="H409" s="12" t="n">
        <x:v>1963</x:v>
      </x:c>
      <x:c r="I409" s="12" t="n">
        <x:v>2</x:v>
      </x:c>
      <x:c r="J409" s="12" t="n">
        <x:v>179</x:v>
      </x:c>
      <x:c r="K409" s="3" t="str">
        <x:v>Вс</x:v>
      </x:c>
      <x:c r="L409" s="8" t="n">
        <x:v>22.63</x:v>
      </x:c>
      <x:c r="M409" s="32" t="n">
        <x:v>20939.9</x:v>
      </x:c>
    </x:row>
    <x:row r="410" ht="23" customHeight="1">
      <x:c r="A410" s="11" t="n">
        <x:v>10405</x:v>
      </x:c>
      <x:c r="B410" s="31" t="n">
        <x:v>63.8</x:v>
      </x:c>
      <x:c r="C410" s="31" t="n">
        <x:v>38.5</x:v>
      </x:c>
      <x:c r="D410" s="11" t="n">
        <x:v>3</x:v>
      </x:c>
      <x:c r="E410" s="11" t="n">
        <x:v>19</x:v>
      </x:c>
      <x:c r="F410" s="11" t="n">
        <x:v>2005</x:v>
      </x:c>
      <x:c r="G410" s="31" t="n">
        <x:v>9.6</x:v>
      </x:c>
      <x:c r="H410" s="11" t="n">
        <x:v>842</x:v>
      </x:c>
      <x:c r="I410" s="11" t="n">
        <x:v>7</x:v>
      </x:c>
      <x:c r="J410" s="11" t="n">
        <x:v>622</x:v>
      </x:c>
      <x:c r="K410" s="9" t="str">
        <x:v>Пт</x:v>
      </x:c>
      <x:c r="L410" s="10" t="n">
        <x:v>46.75</x:v>
      </x:c>
      <x:c r="M410" s="31" t="n">
        <x:v>14277.1</x:v>
      </x:c>
    </x:row>
    <x:row r="411" ht="23" customHeight="1">
      <x:c r="A411" s="12" t="n">
        <x:v>10406</x:v>
      </x:c>
      <x:c r="B411" s="32" t="n">
        <x:v>128.3</x:v>
      </x:c>
      <x:c r="C411" s="32" t="n">
        <x:v>74.2</x:v>
      </x:c>
      <x:c r="D411" s="12" t="n">
        <x:v>5</x:v>
      </x:c>
      <x:c r="E411" s="12" t="n">
        <x:v>11</x:v>
      </x:c>
      <x:c r="F411" s="12" t="n">
        <x:v>1977</x:v>
      </x:c>
      <x:c r="G411" s="32" t="n">
        <x:v>5.9</x:v>
      </x:c>
      <x:c r="H411" s="12" t="n">
        <x:v>437</x:v>
      </x:c>
      <x:c r="I411" s="12" t="n">
        <x:v>2</x:v>
      </x:c>
      <x:c r="J411" s="12" t="n">
        <x:v>516</x:v>
      </x:c>
      <x:c r="K411" s="3" t="str">
        <x:v>Ср</x:v>
      </x:c>
      <x:c r="L411" s="8" t="n">
        <x:v>62.41</x:v>
      </x:c>
      <x:c r="M411" s="32" t="n">
        <x:v>24120.4</x:v>
      </x:c>
    </x:row>
    <x:row r="412" ht="23" customHeight="1">
      <x:c r="A412" s="11" t="n">
        <x:v>10407</x:v>
      </x:c>
      <x:c r="B412" s="31" t="n">
        <x:v>71.6</x:v>
      </x:c>
      <x:c r="C412" s="31" t="n">
        <x:v>48.8</x:v>
      </x:c>
      <x:c r="D412" s="11" t="n">
        <x:v>3</x:v>
      </x:c>
      <x:c r="E412" s="11" t="n">
        <x:v>24</x:v>
      </x:c>
      <x:c r="F412" s="11" t="n">
        <x:v>2023</x:v>
      </x:c>
      <x:c r="G412" s="31" t="n">
        <x:v>7.5</x:v>
      </x:c>
      <x:c r="H412" s="11" t="n">
        <x:v>548</x:v>
      </x:c>
      <x:c r="I412" s="11" t="n">
        <x:v>1</x:v>
      </x:c>
      <x:c r="J412" s="11" t="n">
        <x:v>865</x:v>
      </x:c>
      <x:c r="K412" s="9" t="str">
        <x:v>Сб</x:v>
      </x:c>
      <x:c r="L412" s="10" t="n">
        <x:v>83.32</x:v>
      </x:c>
      <x:c r="M412" s="31" t="n">
        <x:v>15916.4</x:v>
      </x:c>
    </x:row>
    <x:row r="413" ht="23" customHeight="1">
      <x:c r="A413" s="12" t="n">
        <x:v>10408</x:v>
      </x:c>
      <x:c r="B413" s="32" t="n">
        <x:v>29.2</x:v>
      </x:c>
      <x:c r="C413" s="32" t="n">
        <x:v>20.8</x:v>
      </x:c>
      <x:c r="D413" s="12" t="n">
        <x:v>1</x:v>
      </x:c>
      <x:c r="E413" s="12" t="n">
        <x:v>12</x:v>
      </x:c>
      <x:c r="F413" s="12" t="n">
        <x:v>2021</x:v>
      </x:c>
      <x:c r="G413" s="32" t="n">
        <x:v>2.1</x:v>
      </x:c>
      <x:c r="H413" s="12" t="n">
        <x:v>201</x:v>
      </x:c>
      <x:c r="I413" s="12" t="n">
        <x:v>7</x:v>
      </x:c>
      <x:c r="J413" s="12" t="n">
        <x:v>483</x:v>
      </x:c>
      <x:c r="K413" s="3" t="str">
        <x:v>Вт</x:v>
      </x:c>
      <x:c r="L413" s="8" t="n">
        <x:v>52.66</x:v>
      </x:c>
      <x:c r="M413" s="32" t="n">
        <x:v>9198.4</x:v>
      </x:c>
    </x:row>
    <x:row r="414" ht="23" customHeight="1">
      <x:c r="A414" s="11" t="n">
        <x:v>10409</x:v>
      </x:c>
      <x:c r="B414" s="31" t="n">
        <x:v>129.4</x:v>
      </x:c>
      <x:c r="C414" s="31" t="n">
        <x:v>73.6</x:v>
      </x:c>
      <x:c r="D414" s="11" t="n">
        <x:v>5</x:v>
      </x:c>
      <x:c r="E414" s="11" t="n">
        <x:v>10</x:v>
      </x:c>
      <x:c r="F414" s="11" t="n">
        <x:v>1989</x:v>
      </x:c>
      <x:c r="G414" s="31" t="n">
        <x:v>25.7</x:v>
      </x:c>
      <x:c r="H414" s="11" t="n">
        <x:v>2016</x:v>
      </x:c>
      <x:c r="I414" s="11" t="n">
        <x:v>5</x:v>
      </x:c>
      <x:c r="J414" s="11" t="n">
        <x:v>490</x:v>
      </x:c>
      <x:c r="K414" s="9" t="str">
        <x:v>Вс</x:v>
      </x:c>
      <x:c r="L414" s="10" t="n">
        <x:v>53.51</x:v>
      </x:c>
      <x:c r="M414" s="31" t="n">
        <x:v>22460.7</x:v>
      </x:c>
    </x:row>
    <x:row r="415" ht="23" customHeight="1">
      <x:c r="A415" s="12" t="n">
        <x:v>10410</x:v>
      </x:c>
      <x:c r="B415" s="32" t="n">
        <x:v>38.2</x:v>
      </x:c>
      <x:c r="C415" s="32" t="n">
        <x:v>22.1</x:v>
      </x:c>
      <x:c r="D415" s="12" t="n">
        <x:v>1</x:v>
      </x:c>
      <x:c r="E415" s="12" t="n">
        <x:v>8</x:v>
      </x:c>
      <x:c r="F415" s="12" t="n">
        <x:v>2001</x:v>
      </x:c>
      <x:c r="G415" s="32" t="n">
        <x:v>26.2</x:v>
      </x:c>
      <x:c r="H415" s="12" t="n">
        <x:v>2048</x:v>
      </x:c>
      <x:c r="I415" s="12" t="n">
        <x:v>1</x:v>
      </x:c>
      <x:c r="J415" s="12" t="n">
        <x:v>995</x:v>
      </x:c>
      <x:c r="K415" s="3" t="str">
        <x:v>Пт</x:v>
      </x:c>
      <x:c r="L415" s="8" t="n">
        <x:v>50.6</x:v>
      </x:c>
      <x:c r="M415" s="32" t="n">
        <x:v>7374</x:v>
      </x:c>
    </x:row>
    <x:row r="416" ht="23" customHeight="1">
      <x:c r="A416" s="11" t="n">
        <x:v>10411</x:v>
      </x:c>
      <x:c r="B416" s="31" t="n">
        <x:v>63.8</x:v>
      </x:c>
      <x:c r="C416" s="31" t="n">
        <x:v>39.2</x:v>
      </x:c>
      <x:c r="D416" s="11" t="n">
        <x:v>2</x:v>
      </x:c>
      <x:c r="E416" s="11" t="n">
        <x:v>24</x:v>
      </x:c>
      <x:c r="F416" s="11" t="n">
        <x:v>2019</x:v>
      </x:c>
      <x:c r="G416" s="31" t="n">
        <x:v>19</x:v>
      </x:c>
      <x:c r="H416" s="11" t="n">
        <x:v>1448</x:v>
      </x:c>
      <x:c r="I416" s="11" t="n">
        <x:v>4</x:v>
      </x:c>
      <x:c r="J416" s="11" t="n">
        <x:v>898</x:v>
      </x:c>
      <x:c r="K416" s="9" t="str">
        <x:v>Чт</x:v>
      </x:c>
      <x:c r="L416" s="10" t="n">
        <x:v>65.86</x:v>
      </x:c>
      <x:c r="M416" s="31" t="n">
        <x:v>12981.7</x:v>
      </x:c>
    </x:row>
    <x:row r="417" ht="23" customHeight="1">
      <x:c r="A417" s="12" t="n">
        <x:v>10412</x:v>
      </x:c>
      <x:c r="B417" s="32" t="n">
        <x:v>134.4</x:v>
      </x:c>
      <x:c r="C417" s="32" t="n">
        <x:v>80</x:v>
      </x:c>
      <x:c r="D417" s="12" t="n">
        <x:v>5</x:v>
      </x:c>
      <x:c r="E417" s="12" t="n">
        <x:v>9</x:v>
      </x:c>
      <x:c r="F417" s="12" t="n">
        <x:v>1983</x:v>
      </x:c>
      <x:c r="G417" s="32" t="n">
        <x:v>7.3</x:v>
      </x:c>
      <x:c r="H417" s="12" t="n">
        <x:v>560</x:v>
      </x:c>
      <x:c r="I417" s="12" t="n">
        <x:v>4</x:v>
      </x:c>
      <x:c r="J417" s="12" t="n">
        <x:v>787</x:v>
      </x:c>
      <x:c r="K417" s="3" t="str">
        <x:v>Пн</x:v>
      </x:c>
      <x:c r="L417" s="8" t="n">
        <x:v>56.48</x:v>
      </x:c>
      <x:c r="M417" s="32" t="n">
        <x:v>25104.6</x:v>
      </x:c>
    </x:row>
    <x:row r="418" ht="23" customHeight="1">
      <x:c r="A418" s="11" t="n">
        <x:v>10413</x:v>
      </x:c>
      <x:c r="B418" s="31" t="n">
        <x:v>134.5</x:v>
      </x:c>
      <x:c r="C418" s="31" t="n">
        <x:v>88.6</x:v>
      </x:c>
      <x:c r="D418" s="11" t="n">
        <x:v>5</x:v>
      </x:c>
      <x:c r="E418" s="11" t="n">
        <x:v>4</x:v>
      </x:c>
      <x:c r="F418" s="11" t="n">
        <x:v>2019</x:v>
      </x:c>
      <x:c r="G418" s="31" t="n">
        <x:v>4.8</x:v>
      </x:c>
      <x:c r="H418" s="11" t="n">
        <x:v>380</x:v>
      </x:c>
      <x:c r="I418" s="11" t="n">
        <x:v>7</x:v>
      </x:c>
      <x:c r="J418" s="11" t="n">
        <x:v>225</x:v>
      </x:c>
      <x:c r="K418" s="9" t="str">
        <x:v>Сб</x:v>
      </x:c>
      <x:c r="L418" s="10" t="n">
        <x:v>41.37</x:v>
      </x:c>
      <x:c r="M418" s="31" t="n">
        <x:v>27401.7</x:v>
      </x:c>
    </x:row>
    <x:row r="419" ht="23" customHeight="1">
      <x:c r="A419" s="12" t="n">
        <x:v>10414</x:v>
      </x:c>
      <x:c r="B419" s="32" t="n">
        <x:v>92.2</x:v>
      </x:c>
      <x:c r="C419" s="32" t="n">
        <x:v>63</x:v>
      </x:c>
      <x:c r="D419" s="12" t="n">
        <x:v>4</x:v>
      </x:c>
      <x:c r="E419" s="12" t="n">
        <x:v>5</x:v>
      </x:c>
      <x:c r="F419" s="12" t="n">
        <x:v>1997</x:v>
      </x:c>
      <x:c r="G419" s="32" t="n">
        <x:v>2.6</x:v>
      </x:c>
      <x:c r="H419" s="12" t="n">
        <x:v>220</x:v>
      </x:c>
      <x:c r="I419" s="12" t="n">
        <x:v>9</x:v>
      </x:c>
      <x:c r="J419" s="12" t="n">
        <x:v>593</x:v>
      </x:c>
      <x:c r="K419" s="3" t="str">
        <x:v>Вт</x:v>
      </x:c>
      <x:c r="L419" s="8" t="n">
        <x:v>66.73</x:v>
      </x:c>
      <x:c r="M419" s="32" t="n">
        <x:v>18568.6</x:v>
      </x:c>
    </x:row>
    <x:row r="420" ht="23" customHeight="1">
      <x:c r="A420" s="11" t="n">
        <x:v>10415</x:v>
      </x:c>
      <x:c r="B420" s="31" t="n">
        <x:v>98.8</x:v>
      </x:c>
      <x:c r="C420" s="31" t="n">
        <x:v>63.1</x:v>
      </x:c>
      <x:c r="D420" s="11" t="n">
        <x:v>4</x:v>
      </x:c>
      <x:c r="E420" s="11" t="n">
        <x:v>21</x:v>
      </x:c>
      <x:c r="F420" s="11" t="n">
        <x:v>2015</x:v>
      </x:c>
      <x:c r="G420" s="31" t="n">
        <x:v>7.5</x:v>
      </x:c>
      <x:c r="H420" s="11" t="n">
        <x:v>648</x:v>
      </x:c>
      <x:c r="I420" s="11" t="n">
        <x:v>2</x:v>
      </x:c>
      <x:c r="J420" s="11" t="n">
        <x:v>146</x:v>
      </x:c>
      <x:c r="K420" s="9" t="str">
        <x:v>Пн</x:v>
      </x:c>
      <x:c r="L420" s="10" t="n">
        <x:v>43.07</x:v>
      </x:c>
      <x:c r="M420" s="31" t="n">
        <x:v>21014.7</x:v>
      </x:c>
    </x:row>
    <x:row r="421" ht="23" customHeight="1">
      <x:c r="A421" s="12" t="n">
        <x:v>10416</x:v>
      </x:c>
      <x:c r="B421" s="32" t="n">
        <x:v>78.2</x:v>
      </x:c>
      <x:c r="C421" s="32" t="n">
        <x:v>49.8</x:v>
      </x:c>
      <x:c r="D421" s="12" t="n">
        <x:v>4</x:v>
      </x:c>
      <x:c r="E421" s="12" t="n">
        <x:v>8</x:v>
      </x:c>
      <x:c r="F421" s="12" t="n">
        <x:v>2021</x:v>
      </x:c>
      <x:c r="G421" s="32" t="n">
        <x:v>31.4</x:v>
      </x:c>
      <x:c r="H421" s="12" t="n">
        <x:v>2538</x:v>
      </x:c>
      <x:c r="I421" s="12" t="n">
        <x:v>1</x:v>
      </x:c>
      <x:c r="J421" s="12" t="n">
        <x:v>817</x:v>
      </x:c>
      <x:c r="K421" s="3" t="str">
        <x:v>Вс</x:v>
      </x:c>
      <x:c r="L421" s="8" t="n">
        <x:v>26.02</x:v>
      </x:c>
      <x:c r="M421" s="32" t="n">
        <x:v>16049</x:v>
      </x:c>
    </x:row>
    <x:row r="422" ht="23" customHeight="1">
      <x:c r="A422" s="11" t="n">
        <x:v>10417</x:v>
      </x:c>
      <x:c r="B422" s="31" t="n">
        <x:v>60.8</x:v>
      </x:c>
      <x:c r="C422" s="31" t="n">
        <x:v>36.5</x:v>
      </x:c>
      <x:c r="D422" s="11" t="n">
        <x:v>2</x:v>
      </x:c>
      <x:c r="E422" s="11" t="n">
        <x:v>23</x:v>
      </x:c>
      <x:c r="F422" s="11" t="n">
        <x:v>2022</x:v>
      </x:c>
      <x:c r="G422" s="31" t="n">
        <x:v>10</x:v>
      </x:c>
      <x:c r="H422" s="11" t="n">
        <x:v>790</x:v>
      </x:c>
      <x:c r="I422" s="11" t="n">
        <x:v>2</x:v>
      </x:c>
      <x:c r="J422" s="11" t="n">
        <x:v>575</x:v>
      </x:c>
      <x:c r="K422" s="9" t="str">
        <x:v>Вс</x:v>
      </x:c>
      <x:c r="L422" s="10" t="n">
        <x:v>26.07</x:v>
      </x:c>
      <x:c r="M422" s="31" t="n">
        <x:v>13977</x:v>
      </x:c>
    </x:row>
    <x:row r="423" ht="23" customHeight="1">
      <x:c r="A423" s="12" t="n">
        <x:v>10418</x:v>
      </x:c>
      <x:c r="B423" s="32" t="n">
        <x:v>64.8</x:v>
      </x:c>
      <x:c r="C423" s="32" t="n">
        <x:v>38.7</x:v>
      </x:c>
      <x:c r="D423" s="12" t="n">
        <x:v>2</x:v>
      </x:c>
      <x:c r="E423" s="12" t="n">
        <x:v>9</x:v>
      </x:c>
      <x:c r="F423" s="12" t="n">
        <x:v>1993</x:v>
      </x:c>
      <x:c r="G423" s="32" t="n">
        <x:v>13.7</x:v>
      </x:c>
      <x:c r="H423" s="12" t="n">
        <x:v>1086</x:v>
      </x:c>
      <x:c r="I423" s="12" t="n">
        <x:v>7</x:v>
      </x:c>
      <x:c r="J423" s="12" t="n">
        <x:v>718</x:v>
      </x:c>
      <x:c r="K423" s="3" t="str">
        <x:v>Чт</x:v>
      </x:c>
      <x:c r="L423" s="8" t="n">
        <x:v>46.98</x:v>
      </x:c>
      <x:c r="M423" s="32" t="n">
        <x:v>13029.9</x:v>
      </x:c>
    </x:row>
    <x:row r="424" ht="23" customHeight="1">
      <x:c r="A424" s="11" t="n">
        <x:v>10419</x:v>
      </x:c>
      <x:c r="B424" s="31" t="n">
        <x:v>103.3</x:v>
      </x:c>
      <x:c r="C424" s="31" t="n">
        <x:v>70.3</x:v>
      </x:c>
      <x:c r="D424" s="11" t="n">
        <x:v>4</x:v>
      </x:c>
      <x:c r="E424" s="11" t="n">
        <x:v>15</x:v>
      </x:c>
      <x:c r="F424" s="11" t="n">
        <x:v>1984</x:v>
      </x:c>
      <x:c r="G424" s="31" t="n">
        <x:v>5.5</x:v>
      </x:c>
      <x:c r="H424" s="11" t="n">
        <x:v>466</x:v>
      </x:c>
      <x:c r="I424" s="11" t="n">
        <x:v>6</x:v>
      </x:c>
      <x:c r="J424" s="11" t="n">
        <x:v>563</x:v>
      </x:c>
      <x:c r="K424" s="9" t="str">
        <x:v>Ср</x:v>
      </x:c>
      <x:c r="L424" s="10" t="n">
        <x:v>51.55</x:v>
      </x:c>
      <x:c r="M424" s="31" t="n">
        <x:v>20199.6</x:v>
      </x:c>
    </x:row>
    <x:row r="425" ht="23" customHeight="1">
      <x:c r="A425" s="12" t="n">
        <x:v>10420</x:v>
      </x:c>
      <x:c r="B425" s="32" t="n">
        <x:v>112.3</x:v>
      </x:c>
      <x:c r="C425" s="32" t="n">
        <x:v>68.9</x:v>
      </x:c>
      <x:c r="D425" s="12" t="n">
        <x:v>5</x:v>
      </x:c>
      <x:c r="E425" s="12" t="n">
        <x:v>15</x:v>
      </x:c>
      <x:c r="F425" s="12" t="n">
        <x:v>1991</x:v>
      </x:c>
      <x:c r="G425" s="32" t="n">
        <x:v>9.3</x:v>
      </x:c>
      <x:c r="H425" s="12" t="n">
        <x:v>808</x:v>
      </x:c>
      <x:c r="I425" s="12" t="n">
        <x:v>4</x:v>
      </x:c>
      <x:c r="J425" s="12" t="n">
        <x:v>886</x:v>
      </x:c>
      <x:c r="K425" s="3" t="str">
        <x:v>Ср</x:v>
      </x:c>
      <x:c r="L425" s="8" t="n">
        <x:v>64.33</x:v>
      </x:c>
      <x:c r="M425" s="32" t="n">
        <x:v>21615.3</x:v>
      </x:c>
    </x:row>
    <x:row r="426" ht="23" customHeight="1">
      <x:c r="A426" s="11" t="n">
        <x:v>10421</x:v>
      </x:c>
      <x:c r="B426" s="31" t="n">
        <x:v>116.7</x:v>
      </x:c>
      <x:c r="C426" s="31" t="n">
        <x:v>76.6</x:v>
      </x:c>
      <x:c r="D426" s="11" t="n">
        <x:v>5</x:v>
      </x:c>
      <x:c r="E426" s="11" t="n">
        <x:v>16</x:v>
      </x:c>
      <x:c r="F426" s="11" t="n">
        <x:v>1999</x:v>
      </x:c>
      <x:c r="G426" s="31" t="n">
        <x:v>19.1</x:v>
      </x:c>
      <x:c r="H426" s="11" t="n">
        <x:v>1534</x:v>
      </x:c>
      <x:c r="I426" s="11" t="n">
        <x:v>1</x:v>
      </x:c>
      <x:c r="J426" s="11" t="n">
        <x:v>948</x:v>
      </x:c>
      <x:c r="K426" s="9" t="str">
        <x:v>Пт</x:v>
      </x:c>
      <x:c r="L426" s="10" t="n">
        <x:v>59.61</x:v>
      </x:c>
      <x:c r="M426" s="31" t="n">
        <x:v>22087.6</x:v>
      </x:c>
    </x:row>
    <x:row r="427" ht="23" customHeight="1">
      <x:c r="A427" s="12" t="n">
        <x:v>10422</x:v>
      </x:c>
      <x:c r="B427" s="32" t="n">
        <x:v>116.4</x:v>
      </x:c>
      <x:c r="C427" s="32" t="n">
        <x:v>69.3</x:v>
      </x:c>
      <x:c r="D427" s="12" t="n">
        <x:v>4</x:v>
      </x:c>
      <x:c r="E427" s="12" t="n">
        <x:v>14</x:v>
      </x:c>
      <x:c r="F427" s="12" t="n">
        <x:v>1973</x:v>
      </x:c>
      <x:c r="G427" s="32" t="n">
        <x:v>22.1</x:v>
      </x:c>
      <x:c r="H427" s="12" t="n">
        <x:v>1745</x:v>
      </x:c>
      <x:c r="I427" s="12" t="n">
        <x:v>1</x:v>
      </x:c>
      <x:c r="J427" s="12" t="n">
        <x:v>222</x:v>
      </x:c>
      <x:c r="K427" s="3" t="str">
        <x:v>Вт</x:v>
      </x:c>
      <x:c r="L427" s="8" t="n">
        <x:v>51.2</x:v>
      </x:c>
      <x:c r="M427" s="32" t="n">
        <x:v>20073.9</x:v>
      </x:c>
    </x:row>
    <x:row r="428" ht="23" customHeight="1">
      <x:c r="A428" s="11" t="n">
        <x:v>10423</x:v>
      </x:c>
      <x:c r="B428" s="31" t="n">
        <x:v>38.2</x:v>
      </x:c>
      <x:c r="C428" s="31" t="n">
        <x:v>20.6</x:v>
      </x:c>
      <x:c r="D428" s="11" t="n">
        <x:v>2</x:v>
      </x:c>
      <x:c r="E428" s="11" t="n">
        <x:v>8</x:v>
      </x:c>
      <x:c r="F428" s="11" t="n">
        <x:v>1982</x:v>
      </x:c>
      <x:c r="G428" s="31" t="n">
        <x:v>10.1</x:v>
      </x:c>
      <x:c r="H428" s="11" t="n">
        <x:v>758</x:v>
      </x:c>
      <x:c r="I428" s="11" t="n">
        <x:v>5</x:v>
      </x:c>
      <x:c r="J428" s="11" t="n">
        <x:v>573</x:v>
      </x:c>
      <x:c r="K428" s="9" t="str">
        <x:v>Вт</x:v>
      </x:c>
      <x:c r="L428" s="10" t="n">
        <x:v>65.17</x:v>
      </x:c>
      <x:c r="M428" s="31" t="n">
        <x:v>7627.4</x:v>
      </x:c>
    </x:row>
    <x:row r="429" ht="23" customHeight="1">
      <x:c r="A429" s="12" t="n">
        <x:v>10424</x:v>
      </x:c>
      <x:c r="B429" s="32" t="n">
        <x:v>83.4</x:v>
      </x:c>
      <x:c r="C429" s="32" t="n">
        <x:v>58.1</x:v>
      </x:c>
      <x:c r="D429" s="12" t="n">
        <x:v>3</x:v>
      </x:c>
      <x:c r="E429" s="12" t="n">
        <x:v>18</x:v>
      </x:c>
      <x:c r="F429" s="12" t="n">
        <x:v>1992</x:v>
      </x:c>
      <x:c r="G429" s="32" t="n">
        <x:v>3.9</x:v>
      </x:c>
      <x:c r="H429" s="12" t="n">
        <x:v>240</x:v>
      </x:c>
      <x:c r="I429" s="12" t="n">
        <x:v>1</x:v>
      </x:c>
      <x:c r="J429" s="12" t="n">
        <x:v>233</x:v>
      </x:c>
      <x:c r="K429" s="3" t="str">
        <x:v>Вс</x:v>
      </x:c>
      <x:c r="L429" s="8" t="n">
        <x:v>50.19</x:v>
      </x:c>
      <x:c r="M429" s="32" t="n">
        <x:v>16387.7</x:v>
      </x:c>
    </x:row>
    <x:row r="430" ht="23" customHeight="1">
      <x:c r="A430" s="11" t="n">
        <x:v>10425</x:v>
      </x:c>
      <x:c r="B430" s="31" t="n">
        <x:v>34.4</x:v>
      </x:c>
      <x:c r="C430" s="31" t="n">
        <x:v>22.2</x:v>
      </x:c>
      <x:c r="D430" s="11" t="n">
        <x:v>1</x:v>
      </x:c>
      <x:c r="E430" s="11" t="n">
        <x:v>10</x:v>
      </x:c>
      <x:c r="F430" s="11" t="n">
        <x:v>1977</x:v>
      </x:c>
      <x:c r="G430" s="31" t="n">
        <x:v>14.9</x:v>
      </x:c>
      <x:c r="H430" s="11" t="n">
        <x:v>1225</x:v>
      </x:c>
      <x:c r="I430" s="11" t="n">
        <x:v>7</x:v>
      </x:c>
      <x:c r="J430" s="11" t="n">
        <x:v>718</x:v>
      </x:c>
      <x:c r="K430" s="9" t="str">
        <x:v>Пт</x:v>
      </x:c>
      <x:c r="L430" s="10" t="n">
        <x:v>30.64</x:v>
      </x:c>
      <x:c r="M430" s="31" t="n">
        <x:v>6465.3</x:v>
      </x:c>
    </x:row>
    <x:row r="431" ht="23" customHeight="1">
      <x:c r="A431" s="12" t="n">
        <x:v>10426</x:v>
      </x:c>
      <x:c r="B431" s="32" t="n">
        <x:v>89.5</x:v>
      </x:c>
      <x:c r="C431" s="32" t="n">
        <x:v>61.1</x:v>
      </x:c>
      <x:c r="D431" s="12" t="n">
        <x:v>4</x:v>
      </x:c>
      <x:c r="E431" s="12" t="n">
        <x:v>20</x:v>
      </x:c>
      <x:c r="F431" s="12" t="n">
        <x:v>1987</x:v>
      </x:c>
      <x:c r="G431" s="32" t="n">
        <x:v>9.7</x:v>
      </x:c>
      <x:c r="H431" s="12" t="n">
        <x:v>805</x:v>
      </x:c>
      <x:c r="I431" s="12" t="n">
        <x:v>1</x:v>
      </x:c>
      <x:c r="J431" s="12" t="n">
        <x:v>916</x:v>
      </x:c>
      <x:c r="K431" s="3" t="str">
        <x:v>Пн</x:v>
      </x:c>
      <x:c r="L431" s="8" t="n">
        <x:v>27.37</x:v>
      </x:c>
      <x:c r="M431" s="32" t="n">
        <x:v>17811.6</x:v>
      </x:c>
    </x:row>
    <x:row r="432" ht="23" customHeight="1">
      <x:c r="A432" s="11" t="n">
        <x:v>10427</x:v>
      </x:c>
      <x:c r="B432" s="31" t="n">
        <x:v>77.5</x:v>
      </x:c>
      <x:c r="C432" s="31" t="n">
        <x:v>56.4</x:v>
      </x:c>
      <x:c r="D432" s="11" t="n">
        <x:v>3</x:v>
      </x:c>
      <x:c r="E432" s="11" t="n">
        <x:v>6</x:v>
      </x:c>
      <x:c r="F432" s="11" t="n">
        <x:v>1981</x:v>
      </x:c>
      <x:c r="G432" s="31" t="n">
        <x:v>9.2</x:v>
      </x:c>
      <x:c r="H432" s="11" t="n">
        <x:v>765</x:v>
      </x:c>
      <x:c r="I432" s="11" t="n">
        <x:v>1</x:v>
      </x:c>
      <x:c r="J432" s="11" t="n">
        <x:v>940</x:v>
      </x:c>
      <x:c r="K432" s="9" t="str">
        <x:v>Ср</x:v>
      </x:c>
      <x:c r="L432" s="10" t="n">
        <x:v>69.18</x:v>
      </x:c>
      <x:c r="M432" s="31" t="n">
        <x:v>14380.6</x:v>
      </x:c>
    </x:row>
    <x:row r="433" ht="23" customHeight="1">
      <x:c r="A433" s="12" t="n">
        <x:v>10428</x:v>
      </x:c>
      <x:c r="B433" s="32" t="n">
        <x:v>127.4</x:v>
      </x:c>
      <x:c r="C433" s="32" t="n">
        <x:v>84.8</x:v>
      </x:c>
      <x:c r="D433" s="12" t="n">
        <x:v>4</x:v>
      </x:c>
      <x:c r="E433" s="12" t="n">
        <x:v>12</x:v>
      </x:c>
      <x:c r="F433" s="12" t="n">
        <x:v>2000</x:v>
      </x:c>
      <x:c r="G433" s="32" t="n">
        <x:v>33.7</x:v>
      </x:c>
      <x:c r="H433" s="12" t="n">
        <x:v>2690</x:v>
      </x:c>
      <x:c r="I433" s="12" t="n">
        <x:v>2</x:v>
      </x:c>
      <x:c r="J433" s="12" t="n">
        <x:v>661</x:v>
      </x:c>
      <x:c r="K433" s="3" t="str">
        <x:v>Ср</x:v>
      </x:c>
      <x:c r="L433" s="8" t="n">
        <x:v>16.32</x:v>
      </x:c>
      <x:c r="M433" s="32" t="n">
        <x:v>22294.5</x:v>
      </x:c>
    </x:row>
    <x:row r="434" ht="23" customHeight="1">
      <x:c r="A434" s="11" t="n">
        <x:v>10429</x:v>
      </x:c>
      <x:c r="B434" s="31" t="n">
        <x:v>67.3</x:v>
      </x:c>
      <x:c r="C434" s="31" t="n">
        <x:v>45.7</x:v>
      </x:c>
      <x:c r="D434" s="11" t="n">
        <x:v>3</x:v>
      </x:c>
      <x:c r="E434" s="11" t="n">
        <x:v>2</x:v>
      </x:c>
      <x:c r="F434" s="11" t="n">
        <x:v>1983</x:v>
      </x:c>
      <x:c r="G434" s="31" t="n">
        <x:v>22.3</x:v>
      </x:c>
      <x:c r="H434" s="11" t="n">
        <x:v>1854</x:v>
      </x:c>
      <x:c r="I434" s="11" t="n">
        <x:v>3</x:v>
      </x:c>
      <x:c r="J434" s="11" t="n">
        <x:v>948</x:v>
      </x:c>
      <x:c r="K434" s="9" t="str">
        <x:v>Вс</x:v>
      </x:c>
      <x:c r="L434" s="10" t="n">
        <x:v>46.99</x:v>
      </x:c>
      <x:c r="M434" s="31" t="n">
        <x:v>11728.6</x:v>
      </x:c>
    </x:row>
    <x:row r="435" ht="23" customHeight="1">
      <x:c r="A435" s="12" t="n">
        <x:v>10430</x:v>
      </x:c>
      <x:c r="B435" s="32" t="n">
        <x:v>41.1</x:v>
      </x:c>
      <x:c r="C435" s="32" t="n">
        <x:v>24.1</x:v>
      </x:c>
      <x:c r="D435" s="12" t="n">
        <x:v>2</x:v>
      </x:c>
      <x:c r="E435" s="12" t="n">
        <x:v>7</x:v>
      </x:c>
      <x:c r="F435" s="12" t="n">
        <x:v>2003</x:v>
      </x:c>
      <x:c r="G435" s="32" t="n">
        <x:v>20.4</x:v>
      </x:c>
      <x:c r="H435" s="12" t="n">
        <x:v>1608</x:v>
      </x:c>
      <x:c r="I435" s="12" t="n">
        <x:v>1</x:v>
      </x:c>
      <x:c r="J435" s="12" t="n">
        <x:v>706</x:v>
      </x:c>
      <x:c r="K435" s="3" t="str">
        <x:v>Вт</x:v>
      </x:c>
      <x:c r="L435" s="8" t="n">
        <x:v>94.73</x:v>
      </x:c>
      <x:c r="M435" s="32" t="n">
        <x:v>8100.2</x:v>
      </x:c>
    </x:row>
    <x:row r="436" ht="23" customHeight="1">
      <x:c r="A436" s="11" t="n">
        <x:v>10431</x:v>
      </x:c>
      <x:c r="B436" s="31" t="n">
        <x:v>44</x:v>
      </x:c>
      <x:c r="C436" s="31" t="n">
        <x:v>30.8</x:v>
      </x:c>
      <x:c r="D436" s="11" t="n">
        <x:v>1</x:v>
      </x:c>
      <x:c r="E436" s="11" t="n">
        <x:v>16</x:v>
      </x:c>
      <x:c r="F436" s="11" t="n">
        <x:v>1987</x:v>
      </x:c>
      <x:c r="G436" s="31" t="n">
        <x:v>15.7</x:v>
      </x:c>
      <x:c r="H436" s="11" t="n">
        <x:v>1304</x:v>
      </x:c>
      <x:c r="I436" s="11" t="n">
        <x:v>9</x:v>
      </x:c>
      <x:c r="J436" s="11" t="n">
        <x:v>879</x:v>
      </x:c>
      <x:c r="K436" s="9" t="str">
        <x:v>Вс</x:v>
      </x:c>
      <x:c r="L436" s="10" t="n">
        <x:v>56.89</x:v>
      </x:c>
      <x:c r="M436" s="31" t="n">
        <x:v>7959.6</x:v>
      </x:c>
    </x:row>
    <x:row r="437" ht="23" customHeight="1">
      <x:c r="A437" s="12" t="n">
        <x:v>10432</x:v>
      </x:c>
      <x:c r="B437" s="32" t="n">
        <x:v>113.3</x:v>
      </x:c>
      <x:c r="C437" s="32" t="n">
        <x:v>66.1</x:v>
      </x:c>
      <x:c r="D437" s="12" t="n">
        <x:v>5</x:v>
      </x:c>
      <x:c r="E437" s="12" t="n">
        <x:v>3</x:v>
      </x:c>
      <x:c r="F437" s="12" t="n">
        <x:v>2003</x:v>
      </x:c>
      <x:c r="G437" s="32" t="n">
        <x:v>16.2</x:v>
      </x:c>
      <x:c r="H437" s="12" t="n">
        <x:v>1294</x:v>
      </x:c>
      <x:c r="I437" s="12" t="n">
        <x:v>8</x:v>
      </x:c>
      <x:c r="J437" s="12" t="n">
        <x:v>122</x:v>
      </x:c>
      <x:c r="K437" s="3" t="str">
        <x:v>Вт</x:v>
      </x:c>
      <x:c r="L437" s="8" t="n">
        <x:v>46.87</x:v>
      </x:c>
      <x:c r="M437" s="32" t="n">
        <x:v>21946.8</x:v>
      </x:c>
    </x:row>
    <x:row r="438" ht="23" customHeight="1">
      <x:c r="A438" s="11" t="n">
        <x:v>10433</x:v>
      </x:c>
      <x:c r="B438" s="31" t="n">
        <x:v>97.2</x:v>
      </x:c>
      <x:c r="C438" s="31" t="n">
        <x:v>58.2</x:v>
      </x:c>
      <x:c r="D438" s="11" t="n">
        <x:v>4</x:v>
      </x:c>
      <x:c r="E438" s="11" t="n">
        <x:v>13</x:v>
      </x:c>
      <x:c r="F438" s="11" t="n">
        <x:v>1980</x:v>
      </x:c>
      <x:c r="G438" s="31" t="n">
        <x:v>19.8</x:v>
      </x:c>
      <x:c r="H438" s="11" t="n">
        <x:v>1554</x:v>
      </x:c>
      <x:c r="I438" s="11" t="n">
        <x:v>5</x:v>
      </x:c>
      <x:c r="J438" s="11" t="n">
        <x:v>665</x:v>
      </x:c>
      <x:c r="K438" s="9" t="str">
        <x:v>Пт</x:v>
      </x:c>
      <x:c r="L438" s="10" t="n">
        <x:v>24.73</x:v>
      </x:c>
      <x:c r="M438" s="31" t="n">
        <x:v>17571.7</x:v>
      </x:c>
    </x:row>
    <x:row r="439" ht="23" customHeight="1">
      <x:c r="A439" s="12" t="n">
        <x:v>10434</x:v>
      </x:c>
      <x:c r="B439" s="32" t="n">
        <x:v>39.3</x:v>
      </x:c>
      <x:c r="C439" s="32" t="n">
        <x:v>25.6</x:v>
      </x:c>
      <x:c r="D439" s="12" t="n">
        <x:v>2</x:v>
      </x:c>
      <x:c r="E439" s="12" t="n">
        <x:v>3</x:v>
      </x:c>
      <x:c r="F439" s="12" t="n">
        <x:v>2010</x:v>
      </x:c>
      <x:c r="G439" s="32" t="n">
        <x:v>25</x:v>
      </x:c>
      <x:c r="H439" s="12" t="n">
        <x:v>2030</x:v>
      </x:c>
      <x:c r="I439" s="12" t="n">
        <x:v>2</x:v>
      </x:c>
      <x:c r="J439" s="12" t="n">
        <x:v>985</x:v>
      </x:c>
      <x:c r="K439" s="3" t="str">
        <x:v>Чт</x:v>
      </x:c>
      <x:c r="L439" s="8" t="n">
        <x:v>74.26</x:v>
      </x:c>
      <x:c r="M439" s="32" t="n">
        <x:v>9061.9</x:v>
      </x:c>
    </x:row>
    <x:row r="440" ht="23" customHeight="1">
      <x:c r="A440" s="11" t="n">
        <x:v>10435</x:v>
      </x:c>
      <x:c r="B440" s="31" t="n">
        <x:v>37.4</x:v>
      </x:c>
      <x:c r="C440" s="31" t="n">
        <x:v>24.4</x:v>
      </x:c>
      <x:c r="D440" s="11" t="n">
        <x:v>1</x:v>
      </x:c>
      <x:c r="E440" s="11" t="n">
        <x:v>18</x:v>
      </x:c>
      <x:c r="F440" s="11" t="n">
        <x:v>1981</x:v>
      </x:c>
      <x:c r="G440" s="31" t="n">
        <x:v>25.2</x:v>
      </x:c>
      <x:c r="H440" s="11" t="n">
        <x:v>2036</x:v>
      </x:c>
      <x:c r="I440" s="11" t="n">
        <x:v>5</x:v>
      </x:c>
      <x:c r="J440" s="11" t="n">
        <x:v>865</x:v>
      </x:c>
      <x:c r="K440" s="9" t="str">
        <x:v>Пн</x:v>
      </x:c>
      <x:c r="L440" s="10" t="n">
        <x:v>68.21</x:v>
      </x:c>
      <x:c r="M440" s="31" t="n">
        <x:v>6991.7</x:v>
      </x:c>
    </x:row>
    <x:row r="441" ht="23" customHeight="1">
      <x:c r="A441" s="12" t="n">
        <x:v>10436</x:v>
      </x:c>
      <x:c r="B441" s="32" t="n">
        <x:v>106.5</x:v>
      </x:c>
      <x:c r="C441" s="32" t="n">
        <x:v>64.1</x:v>
      </x:c>
      <x:c r="D441" s="12" t="n">
        <x:v>4</x:v>
      </x:c>
      <x:c r="E441" s="12" t="n">
        <x:v>11</x:v>
      </x:c>
      <x:c r="F441" s="12" t="n">
        <x:v>2018</x:v>
      </x:c>
      <x:c r="G441" s="32" t="n">
        <x:v>7.7</x:v>
      </x:c>
      <x:c r="H441" s="12" t="n">
        <x:v>634</x:v>
      </x:c>
      <x:c r="I441" s="12" t="n">
        <x:v>6</x:v>
      </x:c>
      <x:c r="J441" s="12" t="n">
        <x:v>334</x:v>
      </x:c>
      <x:c r="K441" s="3" t="str">
        <x:v>Сб</x:v>
      </x:c>
      <x:c r="L441" s="8" t="n">
        <x:v>60.27</x:v>
      </x:c>
      <x:c r="M441" s="32" t="n">
        <x:v>22389.2</x:v>
      </x:c>
    </x:row>
    <x:row r="442" ht="23" customHeight="1">
      <x:c r="A442" s="11" t="n">
        <x:v>10437</x:v>
      </x:c>
      <x:c r="B442" s="31" t="n">
        <x:v>36.1</x:v>
      </x:c>
      <x:c r="C442" s="31" t="n">
        <x:v>19.4</x:v>
      </x:c>
      <x:c r="D442" s="11" t="n">
        <x:v>1</x:v>
      </x:c>
      <x:c r="E442" s="11" t="n">
        <x:v>8</x:v>
      </x:c>
      <x:c r="F442" s="11" t="n">
        <x:v>1984</x:v>
      </x:c>
      <x:c r="G442" s="31" t="n">
        <x:v>18.5</x:v>
      </x:c>
      <x:c r="H442" s="11" t="n">
        <x:v>1484</x:v>
      </x:c>
      <x:c r="I442" s="11" t="n">
        <x:v>1</x:v>
      </x:c>
      <x:c r="J442" s="11" t="n">
        <x:v>158</x:v>
      </x:c>
      <x:c r="K442" s="9" t="str">
        <x:v>Чт</x:v>
      </x:c>
      <x:c r="L442" s="10" t="n">
        <x:v>49.99</x:v>
      </x:c>
      <x:c r="M442" s="31" t="n">
        <x:v>6062.8</x:v>
      </x:c>
    </x:row>
    <x:row r="443" ht="23" customHeight="1">
      <x:c r="A443" s="12" t="n">
        <x:v>10438</x:v>
      </x:c>
      <x:c r="B443" s="32" t="n">
        <x:v>120</x:v>
      </x:c>
      <x:c r="C443" s="32" t="n">
        <x:v>76</x:v>
      </x:c>
      <x:c r="D443" s="12" t="n">
        <x:v>5</x:v>
      </x:c>
      <x:c r="E443" s="12" t="n">
        <x:v>6</x:v>
      </x:c>
      <x:c r="F443" s="12" t="n">
        <x:v>2000</x:v>
      </x:c>
      <x:c r="G443" s="32" t="n">
        <x:v>15.6</x:v>
      </x:c>
      <x:c r="H443" s="12" t="n">
        <x:v>1246</x:v>
      </x:c>
      <x:c r="I443" s="12" t="n">
        <x:v>4</x:v>
      </x:c>
      <x:c r="J443" s="12" t="n">
        <x:v>263</x:v>
      </x:c>
      <x:c r="K443" s="3" t="str">
        <x:v>Чт</x:v>
      </x:c>
      <x:c r="L443" s="8" t="n">
        <x:v>58.58</x:v>
      </x:c>
      <x:c r="M443" s="32" t="n">
        <x:v>21692.9</x:v>
      </x:c>
    </x:row>
    <x:row r="444" ht="23" customHeight="1">
      <x:c r="A444" s="11" t="n">
        <x:v>10439</x:v>
      </x:c>
      <x:c r="B444" s="31" t="n">
        <x:v>107.1</x:v>
      </x:c>
      <x:c r="C444" s="31" t="n">
        <x:v>72.4</x:v>
      </x:c>
      <x:c r="D444" s="11" t="n">
        <x:v>5</x:v>
      </x:c>
      <x:c r="E444" s="11" t="n">
        <x:v>1</x:v>
      </x:c>
      <x:c r="F444" s="11" t="n">
        <x:v>2018</x:v>
      </x:c>
      <x:c r="G444" s="31" t="n">
        <x:v>30.7</x:v>
      </x:c>
      <x:c r="H444" s="11" t="n">
        <x:v>2575</x:v>
      </x:c>
      <x:c r="I444" s="11" t="n">
        <x:v>9</x:v>
      </x:c>
      <x:c r="J444" s="11" t="n">
        <x:v>870</x:v>
      </x:c>
      <x:c r="K444" s="9" t="str">
        <x:v>Вт</x:v>
      </x:c>
      <x:c r="L444" s="10" t="n">
        <x:v>47.77</x:v>
      </x:c>
      <x:c r="M444" s="31" t="n">
        <x:v>19525</x:v>
      </x:c>
    </x:row>
    <x:row r="445" ht="23" customHeight="1">
      <x:c r="A445" s="12" t="n">
        <x:v>10440</x:v>
      </x:c>
      <x:c r="B445" s="32" t="n">
        <x:v>37.1</x:v>
      </x:c>
      <x:c r="C445" s="32" t="n">
        <x:v>22.3</x:v>
      </x:c>
      <x:c r="D445" s="12" t="n">
        <x:v>1</x:v>
      </x:c>
      <x:c r="E445" s="12" t="n">
        <x:v>1</x:v>
      </x:c>
      <x:c r="F445" s="12" t="n">
        <x:v>1998</x:v>
      </x:c>
      <x:c r="G445" s="32" t="n">
        <x:v>22.8</x:v>
      </x:c>
      <x:c r="H445" s="12" t="n">
        <x:v>1883</x:v>
      </x:c>
      <x:c r="I445" s="12" t="n">
        <x:v>2</x:v>
      </x:c>
      <x:c r="J445" s="12" t="n">
        <x:v>925</x:v>
      </x:c>
      <x:c r="K445" s="3" t="str">
        <x:v>Вт</x:v>
      </x:c>
      <x:c r="L445" s="8" t="n">
        <x:v>35.4</x:v>
      </x:c>
      <x:c r="M445" s="32" t="n">
        <x:v>6589.8</x:v>
      </x:c>
    </x:row>
    <x:row r="446" ht="23" customHeight="1">
      <x:c r="A446" s="11" t="n">
        <x:v>10441</x:v>
      </x:c>
      <x:c r="B446" s="31" t="n">
        <x:v>37.5</x:v>
      </x:c>
      <x:c r="C446" s="31" t="n">
        <x:v>27.3</x:v>
      </x:c>
      <x:c r="D446" s="11" t="n">
        <x:v>2</x:v>
      </x:c>
      <x:c r="E446" s="11" t="n">
        <x:v>23</x:v>
      </x:c>
      <x:c r="F446" s="11" t="n">
        <x:v>1995</x:v>
      </x:c>
      <x:c r="G446" s="31" t="n">
        <x:v>19.6</x:v>
      </x:c>
      <x:c r="H446" s="11" t="n">
        <x:v>1604</x:v>
      </x:c>
      <x:c r="I446" s="11" t="n">
        <x:v>5</x:v>
      </x:c>
      <x:c r="J446" s="11" t="n">
        <x:v>315</x:v>
      </x:c>
      <x:c r="K446" s="9" t="str">
        <x:v>Вт</x:v>
      </x:c>
      <x:c r="L446" s="10" t="n">
        <x:v>64.35</x:v>
      </x:c>
      <x:c r="M446" s="31" t="n">
        <x:v>7478.9</x:v>
      </x:c>
    </x:row>
    <x:row r="447" ht="23" customHeight="1">
      <x:c r="A447" s="12" t="n">
        <x:v>10442</x:v>
      </x:c>
      <x:c r="B447" s="32" t="n">
        <x:v>138.5</x:v>
      </x:c>
      <x:c r="C447" s="32" t="n">
        <x:v>90.4</x:v>
      </x:c>
      <x:c r="D447" s="12" t="n">
        <x:v>4</x:v>
      </x:c>
      <x:c r="E447" s="12" t="n">
        <x:v>8</x:v>
      </x:c>
      <x:c r="F447" s="12" t="n">
        <x:v>1987</x:v>
      </x:c>
      <x:c r="G447" s="32" t="n">
        <x:v>5.8</x:v>
      </x:c>
      <x:c r="H447" s="12" t="n">
        <x:v>470</x:v>
      </x:c>
      <x:c r="I447" s="12" t="n">
        <x:v>1</x:v>
      </x:c>
      <x:c r="J447" s="12" t="n">
        <x:v>282</x:v>
      </x:c>
      <x:c r="K447" s="3" t="str">
        <x:v>Чт</x:v>
      </x:c>
      <x:c r="L447" s="8" t="n">
        <x:v>49.24</x:v>
      </x:c>
      <x:c r="M447" s="32" t="n">
        <x:v>27248.3</x:v>
      </x:c>
    </x:row>
    <x:row r="448" ht="23" customHeight="1">
      <x:c r="A448" s="11" t="n">
        <x:v>10443</x:v>
      </x:c>
      <x:c r="B448" s="31" t="n">
        <x:v>69.9</x:v>
      </x:c>
      <x:c r="C448" s="31" t="n">
        <x:v>49.9</x:v>
      </x:c>
      <x:c r="D448" s="11" t="n">
        <x:v>3</x:v>
      </x:c>
      <x:c r="E448" s="11" t="n">
        <x:v>5</x:v>
      </x:c>
      <x:c r="F448" s="11" t="n">
        <x:v>2001</x:v>
      </x:c>
      <x:c r="G448" s="31" t="n">
        <x:v>22</x:v>
      </x:c>
      <x:c r="H448" s="11" t="n">
        <x:v>1810</x:v>
      </x:c>
      <x:c r="I448" s="11" t="n">
        <x:v>4</x:v>
      </x:c>
      <x:c r="J448" s="11" t="n">
        <x:v>668</x:v>
      </x:c>
      <x:c r="K448" s="9" t="str">
        <x:v>Вс</x:v>
      </x:c>
      <x:c r="L448" s="10" t="n">
        <x:v>57.83</x:v>
      </x:c>
      <x:c r="M448" s="31" t="n">
        <x:v>13672.9</x:v>
      </x:c>
    </x:row>
    <x:row r="449" ht="23" customHeight="1">
      <x:c r="A449" s="12" t="n">
        <x:v>10444</x:v>
      </x:c>
      <x:c r="B449" s="32" t="n">
        <x:v>69.5</x:v>
      </x:c>
      <x:c r="C449" s="32" t="n">
        <x:v>44.4</x:v>
      </x:c>
      <x:c r="D449" s="12" t="n">
        <x:v>2</x:v>
      </x:c>
      <x:c r="E449" s="12" t="n">
        <x:v>16</x:v>
      </x:c>
      <x:c r="F449" s="12" t="n">
        <x:v>1991</x:v>
      </x:c>
      <x:c r="G449" s="32" t="n">
        <x:v>5.9</x:v>
      </x:c>
      <x:c r="H449" s="12" t="n">
        <x:v>498</x:v>
      </x:c>
      <x:c r="I449" s="12" t="n">
        <x:v>4</x:v>
      </x:c>
      <x:c r="J449" s="12" t="n">
        <x:v>756</x:v>
      </x:c>
      <x:c r="K449" s="3" t="str">
        <x:v>Пн</x:v>
      </x:c>
      <x:c r="L449" s="8" t="n">
        <x:v>48.18</x:v>
      </x:c>
      <x:c r="M449" s="32" t="n">
        <x:v>13946</x:v>
      </x:c>
    </x:row>
    <x:row r="450" ht="23" customHeight="1">
      <x:c r="A450" s="11" t="n">
        <x:v>10445</x:v>
      </x:c>
      <x:c r="B450" s="31" t="n">
        <x:v>119</x:v>
      </x:c>
      <x:c r="C450" s="31" t="n">
        <x:v>78.8</x:v>
      </x:c>
      <x:c r="D450" s="11" t="n">
        <x:v>5</x:v>
      </x:c>
      <x:c r="E450" s="11" t="n">
        <x:v>11</x:v>
      </x:c>
      <x:c r="F450" s="11" t="n">
        <x:v>2007</x:v>
      </x:c>
      <x:c r="G450" s="31" t="n">
        <x:v>13.1</x:v>
      </x:c>
      <x:c r="H450" s="11" t="n">
        <x:v>1049</x:v>
      </x:c>
      <x:c r="I450" s="11" t="n">
        <x:v>6</x:v>
      </x:c>
      <x:c r="J450" s="11" t="n">
        <x:v>189</x:v>
      </x:c>
      <x:c r="K450" s="9" t="str">
        <x:v>Вс</x:v>
      </x:c>
      <x:c r="L450" s="10" t="n">
        <x:v>56.93</x:v>
      </x:c>
      <x:c r="M450" s="31" t="n">
        <x:v>21900.7</x:v>
      </x:c>
    </x:row>
    <x:row r="451" ht="23" customHeight="1">
      <x:c r="A451" s="12" t="n">
        <x:v>10446</x:v>
      </x:c>
      <x:c r="B451" s="32" t="n">
        <x:v>134.1</x:v>
      </x:c>
      <x:c r="C451" s="32" t="n">
        <x:v>71.7</x:v>
      </x:c>
      <x:c r="D451" s="12" t="n">
        <x:v>5</x:v>
      </x:c>
      <x:c r="E451" s="12" t="n">
        <x:v>5</x:v>
      </x:c>
      <x:c r="F451" s="12" t="n">
        <x:v>1986</x:v>
      </x:c>
      <x:c r="G451" s="32" t="n">
        <x:v>6.7</x:v>
      </x:c>
      <x:c r="H451" s="12" t="n">
        <x:v>521</x:v>
      </x:c>
      <x:c r="I451" s="12" t="n">
        <x:v>9</x:v>
      </x:c>
      <x:c r="J451" s="12" t="n">
        <x:v>410</x:v>
      </x:c>
      <x:c r="K451" s="3" t="str">
        <x:v>Вт</x:v>
      </x:c>
      <x:c r="L451" s="8" t="n">
        <x:v>49.78</x:v>
      </x:c>
      <x:c r="M451" s="32" t="n">
        <x:v>24692</x:v>
      </x:c>
    </x:row>
    <x:row r="452" ht="23" customHeight="1">
      <x:c r="A452" s="11" t="n">
        <x:v>10447</x:v>
      </x:c>
      <x:c r="B452" s="31" t="n">
        <x:v>138.4</x:v>
      </x:c>
      <x:c r="C452" s="31" t="n">
        <x:v>92.7</x:v>
      </x:c>
      <x:c r="D452" s="11" t="n">
        <x:v>5</x:v>
      </x:c>
      <x:c r="E452" s="11" t="n">
        <x:v>4</x:v>
      </x:c>
      <x:c r="F452" s="11" t="n">
        <x:v>1992</x:v>
      </x:c>
      <x:c r="G452" s="31" t="n">
        <x:v>24.8</x:v>
      </x:c>
      <x:c r="H452" s="11" t="n">
        <x:v>1980</x:v>
      </x:c>
      <x:c r="I452" s="11" t="n">
        <x:v>3</x:v>
      </x:c>
      <x:c r="J452" s="11" t="n">
        <x:v>656</x:v>
      </x:c>
      <x:c r="K452" s="9" t="str">
        <x:v>Ср</x:v>
      </x:c>
      <x:c r="L452" s="10" t="n">
        <x:v>48.61</x:v>
      </x:c>
      <x:c r="M452" s="31" t="n">
        <x:v>24183.3</x:v>
      </x:c>
    </x:row>
    <x:row r="453" ht="23" customHeight="1">
      <x:c r="A453" s="12" t="n">
        <x:v>10448</x:v>
      </x:c>
      <x:c r="B453" s="32" t="n">
        <x:v>112.4</x:v>
      </x:c>
      <x:c r="C453" s="32" t="n">
        <x:v>62</x:v>
      </x:c>
      <x:c r="D453" s="12" t="n">
        <x:v>5</x:v>
      </x:c>
      <x:c r="E453" s="12" t="n">
        <x:v>6</x:v>
      </x:c>
      <x:c r="F453" s="12" t="n">
        <x:v>1993</x:v>
      </x:c>
      <x:c r="G453" s="32" t="n">
        <x:v>8.8</x:v>
      </x:c>
      <x:c r="H453" s="12" t="n">
        <x:v>545</x:v>
      </x:c>
      <x:c r="I453" s="12" t="n">
        <x:v>9</x:v>
      </x:c>
      <x:c r="J453" s="12" t="n">
        <x:v>356</x:v>
      </x:c>
      <x:c r="K453" s="3" t="str">
        <x:v>Вс</x:v>
      </x:c>
      <x:c r="L453" s="8" t="n">
        <x:v>50.45</x:v>
      </x:c>
      <x:c r="M453" s="32" t="n">
        <x:v>21344.4</x:v>
      </x:c>
    </x:row>
    <x:row r="454" ht="23" customHeight="1">
      <x:c r="A454" s="11" t="n">
        <x:v>10449</x:v>
      </x:c>
      <x:c r="B454" s="31" t="n">
        <x:v>70.1</x:v>
      </x:c>
      <x:c r="C454" s="31" t="n">
        <x:v>49.4</x:v>
      </x:c>
      <x:c r="D454" s="11" t="n">
        <x:v>3</x:v>
      </x:c>
      <x:c r="E454" s="11" t="n">
        <x:v>14</x:v>
      </x:c>
      <x:c r="F454" s="11" t="n">
        <x:v>2019</x:v>
      </x:c>
      <x:c r="G454" s="31" t="n">
        <x:v>14.9</x:v>
      </x:c>
      <x:c r="H454" s="11" t="n">
        <x:v>1203</x:v>
      </x:c>
      <x:c r="I454" s="11" t="n">
        <x:v>6</x:v>
      </x:c>
      <x:c r="J454" s="11" t="n">
        <x:v>632</x:v>
      </x:c>
      <x:c r="K454" s="9" t="str">
        <x:v>Пн</x:v>
      </x:c>
      <x:c r="L454" s="10" t="n">
        <x:v>94.41</x:v>
      </x:c>
      <x:c r="M454" s="31" t="n">
        <x:v>14261.4</x:v>
      </x:c>
    </x:row>
    <x:row r="455" ht="23" customHeight="1">
      <x:c r="A455" s="12" t="n">
        <x:v>10450</x:v>
      </x:c>
      <x:c r="B455" s="32" t="n">
        <x:v>37.4</x:v>
      </x:c>
      <x:c r="C455" s="32" t="n">
        <x:v>26.8</x:v>
      </x:c>
      <x:c r="D455" s="12" t="n">
        <x:v>2</x:v>
      </x:c>
      <x:c r="E455" s="12" t="n">
        <x:v>22</x:v>
      </x:c>
      <x:c r="F455" s="12" t="n">
        <x:v>1977</x:v>
      </x:c>
      <x:c r="G455" s="32" t="n">
        <x:v>31.6</x:v>
      </x:c>
      <x:c r="H455" s="12" t="n">
        <x:v>2504</x:v>
      </x:c>
      <x:c r="I455" s="12" t="n">
        <x:v>7</x:v>
      </x:c>
      <x:c r="J455" s="12" t="n">
        <x:v>632</x:v>
      </x:c>
      <x:c r="K455" s="3" t="str">
        <x:v>Ср</x:v>
      </x:c>
      <x:c r="L455" s="8" t="n">
        <x:v>62.04</x:v>
      </x:c>
      <x:c r="M455" s="32" t="n">
        <x:v>6306.4</x:v>
      </x:c>
    </x:row>
    <x:row r="456" ht="23" customHeight="1">
      <x:c r="A456" s="11" t="n">
        <x:v>10451</x:v>
      </x:c>
      <x:c r="B456" s="31" t="n">
        <x:v>115</x:v>
      </x:c>
      <x:c r="C456" s="31" t="n">
        <x:v>66.6</x:v>
      </x:c>
      <x:c r="D456" s="11" t="n">
        <x:v>5</x:v>
      </x:c>
      <x:c r="E456" s="11" t="n">
        <x:v>19</x:v>
      </x:c>
      <x:c r="F456" s="11" t="n">
        <x:v>2010</x:v>
      </x:c>
      <x:c r="G456" s="31" t="n">
        <x:v>8.7</x:v>
      </x:c>
      <x:c r="H456" s="11" t="n">
        <x:v>776</x:v>
      </x:c>
      <x:c r="I456" s="11" t="n">
        <x:v>2</x:v>
      </x:c>
      <x:c r="J456" s="11" t="n">
        <x:v>151</x:v>
      </x:c>
      <x:c r="K456" s="9" t="str">
        <x:v>Пн</x:v>
      </x:c>
      <x:c r="L456" s="10" t="n">
        <x:v>88.79</x:v>
      </x:c>
      <x:c r="M456" s="31" t="n">
        <x:v>22658.3</x:v>
      </x:c>
    </x:row>
    <x:row r="457" ht="23" customHeight="1">
      <x:c r="A457" s="12" t="n">
        <x:v>10452</x:v>
      </x:c>
      <x:c r="B457" s="32" t="n">
        <x:v>90.5</x:v>
      </x:c>
      <x:c r="C457" s="32" t="n">
        <x:v>52.9</x:v>
      </x:c>
      <x:c r="D457" s="12" t="n">
        <x:v>4</x:v>
      </x:c>
      <x:c r="E457" s="12" t="n">
        <x:v>9</x:v>
      </x:c>
      <x:c r="F457" s="12" t="n">
        <x:v>1975</x:v>
      </x:c>
      <x:c r="G457" s="32" t="n">
        <x:v>18.8</x:v>
      </x:c>
      <x:c r="H457" s="12" t="n">
        <x:v>1505</x:v>
      </x:c>
      <x:c r="I457" s="12" t="n">
        <x:v>6</x:v>
      </x:c>
      <x:c r="J457" s="12" t="n">
        <x:v>437</x:v>
      </x:c>
      <x:c r="K457" s="3" t="str">
        <x:v>Вт</x:v>
      </x:c>
      <x:c r="L457" s="8" t="n">
        <x:v>49.88</x:v>
      </x:c>
      <x:c r="M457" s="32" t="n">
        <x:v>16248.4</x:v>
      </x:c>
    </x:row>
    <x:row r="458" ht="23" customHeight="1">
      <x:c r="A458" s="11" t="n">
        <x:v>10453</x:v>
      </x:c>
      <x:c r="B458" s="31" t="n">
        <x:v>75.5</x:v>
      </x:c>
      <x:c r="C458" s="31" t="n">
        <x:v>51.2</x:v>
      </x:c>
      <x:c r="D458" s="11" t="n">
        <x:v>3</x:v>
      </x:c>
      <x:c r="E458" s="11" t="n">
        <x:v>12</x:v>
      </x:c>
      <x:c r="F458" s="11" t="n">
        <x:v>1974</x:v>
      </x:c>
      <x:c r="G458" s="31" t="n">
        <x:v>15.8</x:v>
      </x:c>
      <x:c r="H458" s="11" t="n">
        <x:v>1205</x:v>
      </x:c>
      <x:c r="I458" s="11" t="n">
        <x:v>6</x:v>
      </x:c>
      <x:c r="J458" s="11" t="n">
        <x:v>270</x:v>
      </x:c>
      <x:c r="K458" s="9" t="str">
        <x:v>Вс</x:v>
      </x:c>
      <x:c r="L458" s="10" t="n">
        <x:v>45.36</x:v>
      </x:c>
      <x:c r="M458" s="31" t="n">
        <x:v>13655.7</x:v>
      </x:c>
    </x:row>
    <x:row r="459" ht="23" customHeight="1">
      <x:c r="A459" s="12" t="n">
        <x:v>10454</x:v>
      </x:c>
      <x:c r="B459" s="32" t="n">
        <x:v>129.5</x:v>
      </x:c>
      <x:c r="C459" s="32" t="n">
        <x:v>78.4</x:v>
      </x:c>
      <x:c r="D459" s="12" t="n">
        <x:v>5</x:v>
      </x:c>
      <x:c r="E459" s="12" t="n">
        <x:v>11</x:v>
      </x:c>
      <x:c r="F459" s="12" t="n">
        <x:v>2013</x:v>
      </x:c>
      <x:c r="G459" s="32" t="n">
        <x:v>2.6</x:v>
      </x:c>
      <x:c r="H459" s="12" t="n">
        <x:v>206</x:v>
      </x:c>
      <x:c r="I459" s="12" t="n">
        <x:v>2</x:v>
      </x:c>
      <x:c r="J459" s="12" t="n">
        <x:v>166</x:v>
      </x:c>
      <x:c r="K459" s="3" t="str">
        <x:v>Сб</x:v>
      </x:c>
      <x:c r="L459" s="8" t="n">
        <x:v>33.89</x:v>
      </x:c>
      <x:c r="M459" s="32" t="n">
        <x:v>26492.8</x:v>
      </x:c>
    </x:row>
    <x:row r="460" ht="23" customHeight="1">
      <x:c r="A460" s="11" t="n">
        <x:v>10455</x:v>
      </x:c>
      <x:c r="B460" s="31" t="n">
        <x:v>40.5</x:v>
      </x:c>
      <x:c r="C460" s="31" t="n">
        <x:v>28.9</x:v>
      </x:c>
      <x:c r="D460" s="11" t="n">
        <x:v>2</x:v>
      </x:c>
      <x:c r="E460" s="11" t="n">
        <x:v>14</x:v>
      </x:c>
      <x:c r="F460" s="11" t="n">
        <x:v>1998</x:v>
      </x:c>
      <x:c r="G460" s="31" t="n">
        <x:v>28.2</x:v>
      </x:c>
      <x:c r="H460" s="11" t="n">
        <x:v>2204</x:v>
      </x:c>
      <x:c r="I460" s="11" t="n">
        <x:v>2</x:v>
      </x:c>
      <x:c r="J460" s="11" t="n">
        <x:v>724</x:v>
      </x:c>
      <x:c r="K460" s="9" t="str">
        <x:v>Пт</x:v>
      </x:c>
      <x:c r="L460" s="10" t="n">
        <x:v>74.05</x:v>
      </x:c>
      <x:c r="M460" s="31" t="n">
        <x:v>7341.4</x:v>
      </x:c>
    </x:row>
    <x:row r="461" ht="23" customHeight="1">
      <x:c r="A461" s="12" t="n">
        <x:v>10456</x:v>
      </x:c>
      <x:c r="B461" s="32" t="n">
        <x:v>83.2</x:v>
      </x:c>
      <x:c r="C461" s="32" t="n">
        <x:v>48.2</x:v>
      </x:c>
      <x:c r="D461" s="12" t="n">
        <x:v>3</x:v>
      </x:c>
      <x:c r="E461" s="12" t="n">
        <x:v>23</x:v>
      </x:c>
      <x:c r="F461" s="12" t="n">
        <x:v>1997</x:v>
      </x:c>
      <x:c r="G461" s="32" t="n">
        <x:v>4.3</x:v>
      </x:c>
      <x:c r="H461" s="12" t="n">
        <x:v>368</x:v>
      </x:c>
      <x:c r="I461" s="12" t="n">
        <x:v>2</x:v>
      </x:c>
      <x:c r="J461" s="12" t="n">
        <x:v>399</x:v>
      </x:c>
      <x:c r="K461" s="3" t="str">
        <x:v>Вт</x:v>
      </x:c>
      <x:c r="L461" s="8" t="n">
        <x:v>36.42</x:v>
      </x:c>
      <x:c r="M461" s="32" t="n">
        <x:v>16910.3</x:v>
      </x:c>
    </x:row>
    <x:row r="462" ht="23" customHeight="1">
      <x:c r="A462" s="11" t="n">
        <x:v>10457</x:v>
      </x:c>
      <x:c r="B462" s="31" t="n">
        <x:v>29.3</x:v>
      </x:c>
      <x:c r="C462" s="31" t="n">
        <x:v>16.8</x:v>
      </x:c>
      <x:c r="D462" s="11" t="n">
        <x:v>1</x:v>
      </x:c>
      <x:c r="E462" s="11" t="n">
        <x:v>16</x:v>
      </x:c>
      <x:c r="F462" s="11" t="n">
        <x:v>1980</x:v>
      </x:c>
      <x:c r="G462" s="31" t="n">
        <x:v>17.7</x:v>
      </x:c>
      <x:c r="H462" s="11" t="n">
        <x:v>1431</x:v>
      </x:c>
      <x:c r="I462" s="11" t="n">
        <x:v>1</x:v>
      </x:c>
      <x:c r="J462" s="11" t="n">
        <x:v>771</x:v>
      </x:c>
      <x:c r="K462" s="9" t="str">
        <x:v>Чт</x:v>
      </x:c>
      <x:c r="L462" s="10" t="n">
        <x:v>77.14</x:v>
      </x:c>
      <x:c r="M462" s="31" t="n">
        <x:v>5446.6</x:v>
      </x:c>
    </x:row>
    <x:row r="463" ht="23" customHeight="1">
      <x:c r="A463" s="12" t="n">
        <x:v>10458</x:v>
      </x:c>
      <x:c r="B463" s="32" t="n">
        <x:v>80.5</x:v>
      </x:c>
      <x:c r="C463" s="32" t="n">
        <x:v>56.7</x:v>
      </x:c>
      <x:c r="D463" s="12" t="n">
        <x:v>3</x:v>
      </x:c>
      <x:c r="E463" s="12" t="n">
        <x:v>1</x:v>
      </x:c>
      <x:c r="F463" s="12" t="n">
        <x:v>1970</x:v>
      </x:c>
      <x:c r="G463" s="32" t="n">
        <x:v>20.5</x:v>
      </x:c>
      <x:c r="H463" s="12" t="n">
        <x:v>1688</x:v>
      </x:c>
      <x:c r="I463" s="12" t="n">
        <x:v>5</x:v>
      </x:c>
      <x:c r="J463" s="12" t="n">
        <x:v>877</x:v>
      </x:c>
      <x:c r="K463" s="3" t="str">
        <x:v>Сб</x:v>
      </x:c>
      <x:c r="L463" s="8" t="n">
        <x:v>34.76</x:v>
      </x:c>
      <x:c r="M463" s="32" t="n">
        <x:v>13397</x:v>
      </x:c>
    </x:row>
    <x:row r="464" ht="23" customHeight="1">
      <x:c r="A464" s="11" t="n">
        <x:v>10459</x:v>
      </x:c>
      <x:c r="B464" s="31" t="n">
        <x:v>34.3</x:v>
      </x:c>
      <x:c r="C464" s="31" t="n">
        <x:v>24.2</x:v>
      </x:c>
      <x:c r="D464" s="11" t="n">
        <x:v>2</x:v>
      </x:c>
      <x:c r="E464" s="11" t="n">
        <x:v>13</x:v>
      </x:c>
      <x:c r="F464" s="11" t="n">
        <x:v>2012</x:v>
      </x:c>
      <x:c r="G464" s="31" t="n">
        <x:v>22.7</x:v>
      </x:c>
      <x:c r="H464" s="11" t="n">
        <x:v>1776</x:v>
      </x:c>
      <x:c r="I464" s="11" t="n">
        <x:v>8</x:v>
      </x:c>
      <x:c r="J464" s="11" t="n">
        <x:v>931</x:v>
      </x:c>
      <x:c r="K464" s="9" t="str">
        <x:v>Чт</x:v>
      </x:c>
      <x:c r="L464" s="10" t="n">
        <x:v>63.3</x:v>
      </x:c>
      <x:c r="M464" s="31" t="n">
        <x:v>8425</x:v>
      </x:c>
    </x:row>
    <x:row r="465" ht="23" customHeight="1">
      <x:c r="A465" s="12" t="n">
        <x:v>10460</x:v>
      </x:c>
      <x:c r="B465" s="32" t="n">
        <x:v>41.3</x:v>
      </x:c>
      <x:c r="C465" s="32" t="n">
        <x:v>26</x:v>
      </x:c>
      <x:c r="D465" s="12" t="n">
        <x:v>2</x:v>
      </x:c>
      <x:c r="E465" s="12" t="n">
        <x:v>23</x:v>
      </x:c>
      <x:c r="F465" s="12" t="n">
        <x:v>1988</x:v>
      </x:c>
      <x:c r="G465" s="32" t="n">
        <x:v>24.7</x:v>
      </x:c>
      <x:c r="H465" s="12" t="n">
        <x:v>1978</x:v>
      </x:c>
      <x:c r="I465" s="12" t="n">
        <x:v>2</x:v>
      </x:c>
      <x:c r="J465" s="12" t="n">
        <x:v>331</x:v>
      </x:c>
      <x:c r="K465" s="3" t="str">
        <x:v>Пн</x:v>
      </x:c>
      <x:c r="L465" s="8" t="n">
        <x:v>26.13</x:v>
      </x:c>
      <x:c r="M465" s="32" t="n">
        <x:v>7685.4</x:v>
      </x:c>
    </x:row>
    <x:row r="466" ht="23" customHeight="1">
      <x:c r="A466" s="11" t="n">
        <x:v>10461</x:v>
      </x:c>
      <x:c r="B466" s="31" t="n">
        <x:v>41.2</x:v>
      </x:c>
      <x:c r="C466" s="31" t="n">
        <x:v>24.1</x:v>
      </x:c>
      <x:c r="D466" s="11" t="n">
        <x:v>1</x:v>
      </x:c>
      <x:c r="E466" s="11" t="n">
        <x:v>21</x:v>
      </x:c>
      <x:c r="F466" s="11" t="n">
        <x:v>1978</x:v>
      </x:c>
      <x:c r="G466" s="31" t="n">
        <x:v>10.4</x:v>
      </x:c>
      <x:c r="H466" s="11" t="n">
        <x:v>764</x:v>
      </x:c>
      <x:c r="I466" s="11" t="n">
        <x:v>5</x:v>
      </x:c>
      <x:c r="J466" s="11" t="n">
        <x:v>936</x:v>
      </x:c>
      <x:c r="K466" s="9" t="str">
        <x:v>Чт</x:v>
      </x:c>
      <x:c r="L466" s="10" t="n">
        <x:v>43.37</x:v>
      </x:c>
      <x:c r="M466" s="31" t="n">
        <x:v>8504.1</x:v>
      </x:c>
    </x:row>
    <x:row r="467" ht="23" customHeight="1">
      <x:c r="A467" s="12" t="n">
        <x:v>10462</x:v>
      </x:c>
      <x:c r="B467" s="32" t="n">
        <x:v>100.7</x:v>
      </x:c>
      <x:c r="C467" s="32" t="n">
        <x:v>64.4</x:v>
      </x:c>
      <x:c r="D467" s="12" t="n">
        <x:v>4</x:v>
      </x:c>
      <x:c r="E467" s="12" t="n">
        <x:v>21</x:v>
      </x:c>
      <x:c r="F467" s="12" t="n">
        <x:v>1996</x:v>
      </x:c>
      <x:c r="G467" s="32" t="n">
        <x:v>2.3</x:v>
      </x:c>
      <x:c r="H467" s="12" t="n">
        <x:v>219</x:v>
      </x:c>
      <x:c r="I467" s="12" t="n">
        <x:v>8</x:v>
      </x:c>
      <x:c r="J467" s="12" t="n">
        <x:v>167</x:v>
      </x:c>
      <x:c r="K467" s="3" t="str">
        <x:v>Сб</x:v>
      </x:c>
      <x:c r="L467" s="8" t="n">
        <x:v>50.33</x:v>
      </x:c>
      <x:c r="M467" s="32" t="n">
        <x:v>20890.9</x:v>
      </x:c>
    </x:row>
    <x:row r="468" ht="23" customHeight="1">
      <x:c r="A468" s="11" t="n">
        <x:v>10463</x:v>
      </x:c>
      <x:c r="B468" s="31" t="n">
        <x:v>111.6</x:v>
      </x:c>
      <x:c r="C468" s="31" t="n">
        <x:v>71.9</x:v>
      </x:c>
      <x:c r="D468" s="11" t="n">
        <x:v>4</x:v>
      </x:c>
      <x:c r="E468" s="11" t="n">
        <x:v>13</x:v>
      </x:c>
      <x:c r="F468" s="11" t="n">
        <x:v>2003</x:v>
      </x:c>
      <x:c r="G468" s="31" t="n">
        <x:v>25.9</x:v>
      </x:c>
      <x:c r="H468" s="11" t="n">
        <x:v>2098</x:v>
      </x:c>
      <x:c r="I468" s="11" t="n">
        <x:v>5</x:v>
      </x:c>
      <x:c r="J468" s="11" t="n">
        <x:v>605</x:v>
      </x:c>
      <x:c r="K468" s="9" t="str">
        <x:v>Сб</x:v>
      </x:c>
      <x:c r="L468" s="10" t="n">
        <x:v>41.04</x:v>
      </x:c>
      <x:c r="M468" s="31" t="n">
        <x:v>20314.5</x:v>
      </x:c>
    </x:row>
    <x:row r="469" ht="23" customHeight="1">
      <x:c r="A469" s="12" t="n">
        <x:v>10464</x:v>
      </x:c>
      <x:c r="B469" s="32" t="n">
        <x:v>93.3</x:v>
      </x:c>
      <x:c r="C469" s="32" t="n">
        <x:v>61.6</x:v>
      </x:c>
      <x:c r="D469" s="12" t="n">
        <x:v>5</x:v>
      </x:c>
      <x:c r="E469" s="12" t="n">
        <x:v>2</x:v>
      </x:c>
      <x:c r="F469" s="12" t="n">
        <x:v>2013</x:v>
      </x:c>
      <x:c r="G469" s="32" t="n">
        <x:v>19.7</x:v>
      </x:c>
      <x:c r="H469" s="12" t="n">
        <x:v>1601</x:v>
      </x:c>
      <x:c r="I469" s="12" t="n">
        <x:v>2</x:v>
      </x:c>
      <x:c r="J469" s="12" t="n">
        <x:v>127</x:v>
      </x:c>
      <x:c r="K469" s="3" t="str">
        <x:v>Вт</x:v>
      </x:c>
      <x:c r="L469" s="8" t="n">
        <x:v>47.46</x:v>
      </x:c>
      <x:c r="M469" s="32" t="n">
        <x:v>18435.8</x:v>
      </x:c>
    </x:row>
    <x:row r="470" ht="23" customHeight="1">
      <x:c r="A470" s="11" t="n">
        <x:v>10465</x:v>
      </x:c>
      <x:c r="B470" s="31" t="n">
        <x:v>135.8</x:v>
      </x:c>
      <x:c r="C470" s="31" t="n">
        <x:v>87.7</x:v>
      </x:c>
      <x:c r="D470" s="11" t="n">
        <x:v>5</x:v>
      </x:c>
      <x:c r="E470" s="11" t="n">
        <x:v>4</x:v>
      </x:c>
      <x:c r="F470" s="11" t="n">
        <x:v>1973</x:v>
      </x:c>
      <x:c r="G470" s="31" t="n">
        <x:v>29.6</x:v>
      </x:c>
      <x:c r="H470" s="11" t="n">
        <x:v>2368</x:v>
      </x:c>
      <x:c r="I470" s="11" t="n">
        <x:v>3</x:v>
      </x:c>
      <x:c r="J470" s="11" t="n">
        <x:v>727</x:v>
      </x:c>
      <x:c r="K470" s="9" t="str">
        <x:v>Ср</x:v>
      </x:c>
      <x:c r="L470" s="10" t="n">
        <x:v>47.53</x:v>
      </x:c>
      <x:c r="M470" s="31" t="n">
        <x:v>22500.6</x:v>
      </x:c>
    </x:row>
    <x:row r="471" ht="23" customHeight="1">
      <x:c r="A471" s="12" t="n">
        <x:v>10466</x:v>
      </x:c>
      <x:c r="B471" s="32" t="n">
        <x:v>70</x:v>
      </x:c>
      <x:c r="C471" s="32" t="n">
        <x:v>41</x:v>
      </x:c>
      <x:c r="D471" s="12" t="n">
        <x:v>3</x:v>
      </x:c>
      <x:c r="E471" s="12" t="n">
        <x:v>6</x:v>
      </x:c>
      <x:c r="F471" s="12" t="n">
        <x:v>2005</x:v>
      </x:c>
      <x:c r="G471" s="32" t="n">
        <x:v>29.1</x:v>
      </x:c>
      <x:c r="H471" s="12" t="n">
        <x:v>2349</x:v>
      </x:c>
      <x:c r="I471" s="12" t="n">
        <x:v>6</x:v>
      </x:c>
      <x:c r="J471" s="12" t="n">
        <x:v>150</x:v>
      </x:c>
      <x:c r="K471" s="3" t="str">
        <x:v>Вт</x:v>
      </x:c>
      <x:c r="L471" s="8" t="n">
        <x:v>62.1</x:v>
      </x:c>
      <x:c r="M471" s="32" t="n">
        <x:v>12467.4</x:v>
      </x:c>
    </x:row>
    <x:row r="472" ht="23" customHeight="1">
      <x:c r="A472" s="11" t="n">
        <x:v>10467</x:v>
      </x:c>
      <x:c r="B472" s="31" t="n">
        <x:v>60</x:v>
      </x:c>
      <x:c r="C472" s="31" t="n">
        <x:v>36.2</x:v>
      </x:c>
      <x:c r="D472" s="11" t="n">
        <x:v>3</x:v>
      </x:c>
      <x:c r="E472" s="11" t="n">
        <x:v>23</x:v>
      </x:c>
      <x:c r="F472" s="11" t="n">
        <x:v>1987</x:v>
      </x:c>
      <x:c r="G472" s="31" t="n">
        <x:v>29.8</x:v>
      </x:c>
      <x:c r="H472" s="11" t="n">
        <x:v>2464</x:v>
      </x:c>
      <x:c r="I472" s="11" t="n">
        <x:v>5</x:v>
      </x:c>
      <x:c r="J472" s="11" t="n">
        <x:v>792</x:v>
      </x:c>
      <x:c r="K472" s="9" t="str">
        <x:v>Пн</x:v>
      </x:c>
      <x:c r="L472" s="10" t="n">
        <x:v>18.7</x:v>
      </x:c>
      <x:c r="M472" s="31" t="n">
        <x:v>9952.9</x:v>
      </x:c>
    </x:row>
    <x:row r="473" ht="23" customHeight="1">
      <x:c r="A473" s="12" t="n">
        <x:v>10468</x:v>
      </x:c>
      <x:c r="B473" s="32" t="n">
        <x:v>125.3</x:v>
      </x:c>
      <x:c r="C473" s="32" t="n">
        <x:v>75.5</x:v>
      </x:c>
      <x:c r="D473" s="12" t="n">
        <x:v>5</x:v>
      </x:c>
      <x:c r="E473" s="12" t="n">
        <x:v>5</x:v>
      </x:c>
      <x:c r="F473" s="12" t="n">
        <x:v>1984</x:v>
      </x:c>
      <x:c r="G473" s="32" t="n">
        <x:v>18</x:v>
      </x:c>
      <x:c r="H473" s="12" t="n">
        <x:v>1426</x:v>
      </x:c>
      <x:c r="I473" s="12" t="n">
        <x:v>4</x:v>
      </x:c>
      <x:c r="J473" s="12" t="n">
        <x:v>359</x:v>
      </x:c>
      <x:c r="K473" s="3" t="str">
        <x:v>Чт</x:v>
      </x:c>
      <x:c r="L473" s="8" t="n">
        <x:v>41.56</x:v>
      </x:c>
      <x:c r="M473" s="32" t="n">
        <x:v>23280</x:v>
      </x:c>
    </x:row>
    <x:row r="474" ht="23" customHeight="1">
      <x:c r="A474" s="11" t="n">
        <x:v>10469</x:v>
      </x:c>
      <x:c r="B474" s="31" t="n">
        <x:v>53</x:v>
      </x:c>
      <x:c r="C474" s="31" t="n">
        <x:v>36.1</x:v>
      </x:c>
      <x:c r="D474" s="11" t="n">
        <x:v>2</x:v>
      </x:c>
      <x:c r="E474" s="11" t="n">
        <x:v>25</x:v>
      </x:c>
      <x:c r="F474" s="11" t="n">
        <x:v>2020</x:v>
      </x:c>
      <x:c r="G474" s="31" t="n">
        <x:v>13</x:v>
      </x:c>
      <x:c r="H474" s="11" t="n">
        <x:v>1047</x:v>
      </x:c>
      <x:c r="I474" s="11" t="n">
        <x:v>4</x:v>
      </x:c>
      <x:c r="J474" s="11" t="n">
        <x:v>690</x:v>
      </x:c>
      <x:c r="K474" s="9" t="str">
        <x:v>Ср</x:v>
      </x:c>
      <x:c r="L474" s="10" t="n">
        <x:v>68.82</x:v>
      </x:c>
      <x:c r="M474" s="31" t="n">
        <x:v>12258.6</x:v>
      </x:c>
    </x:row>
    <x:row r="475" ht="23" customHeight="1">
      <x:c r="A475" s="12" t="n">
        <x:v>10470</x:v>
      </x:c>
      <x:c r="B475" s="32" t="n">
        <x:v>135.9</x:v>
      </x:c>
      <x:c r="C475" s="32" t="n">
        <x:v>80</x:v>
      </x:c>
      <x:c r="D475" s="12" t="n">
        <x:v>5</x:v>
      </x:c>
      <x:c r="E475" s="12" t="n">
        <x:v>3</x:v>
      </x:c>
      <x:c r="F475" s="12" t="n">
        <x:v>1982</x:v>
      </x:c>
      <x:c r="G475" s="32" t="n">
        <x:v>28.1</x:v>
      </x:c>
      <x:c r="H475" s="12" t="n">
        <x:v>2194</x:v>
      </x:c>
      <x:c r="I475" s="12" t="n">
        <x:v>5</x:v>
      </x:c>
      <x:c r="J475" s="12" t="n">
        <x:v>884</x:v>
      </x:c>
      <x:c r="K475" s="3" t="str">
        <x:v>Вс</x:v>
      </x:c>
      <x:c r="L475" s="8" t="n">
        <x:v>58.44</x:v>
      </x:c>
      <x:c r="M475" s="32" t="n">
        <x:v>22684.7</x:v>
      </x:c>
    </x:row>
    <x:row r="476" ht="23" customHeight="1">
      <x:c r="A476" s="11" t="n">
        <x:v>10471</x:v>
      </x:c>
      <x:c r="B476" s="31" t="n">
        <x:v>29.4</x:v>
      </x:c>
      <x:c r="C476" s="31" t="n">
        <x:v>18.8</x:v>
      </x:c>
      <x:c r="D476" s="11" t="n">
        <x:v>1</x:v>
      </x:c>
      <x:c r="E476" s="11" t="n">
        <x:v>1</x:v>
      </x:c>
      <x:c r="F476" s="11" t="n">
        <x:v>1988</x:v>
      </x:c>
      <x:c r="G476" s="31" t="n">
        <x:v>16.9</x:v>
      </x:c>
      <x:c r="H476" s="11" t="n">
        <x:v>1309</x:v>
      </x:c>
      <x:c r="I476" s="11" t="n">
        <x:v>2</x:v>
      </x:c>
      <x:c r="J476" s="11" t="n">
        <x:v>719</x:v>
      </x:c>
      <x:c r="K476" s="9" t="str">
        <x:v>Пт</x:v>
      </x:c>
      <x:c r="L476" s="10" t="n">
        <x:v>69.07</x:v>
      </x:c>
      <x:c r="M476" s="31" t="n">
        <x:v>5958.1</x:v>
      </x:c>
    </x:row>
    <x:row r="477" ht="23" customHeight="1">
      <x:c r="A477" s="12" t="n">
        <x:v>10472</x:v>
      </x:c>
      <x:c r="B477" s="32" t="n">
        <x:v>136.6</x:v>
      </x:c>
      <x:c r="C477" s="32" t="n">
        <x:v>78</x:v>
      </x:c>
      <x:c r="D477" s="12" t="n">
        <x:v>5</x:v>
      </x:c>
      <x:c r="E477" s="12" t="n">
        <x:v>4</x:v>
      </x:c>
      <x:c r="F477" s="12" t="n">
        <x:v>2018</x:v>
      </x:c>
      <x:c r="G477" s="32" t="n">
        <x:v>8.1</x:v>
      </x:c>
      <x:c r="H477" s="12" t="n">
        <x:v>653</x:v>
      </x:c>
      <x:c r="I477" s="12" t="n">
        <x:v>9</x:v>
      </x:c>
      <x:c r="J477" s="12" t="n">
        <x:v>685</x:v>
      </x:c>
      <x:c r="K477" s="3" t="str">
        <x:v>Сб</x:v>
      </x:c>
      <x:c r="L477" s="8" t="n">
        <x:v>61.38</x:v>
      </x:c>
      <x:c r="M477" s="32" t="n">
        <x:v>26583</x:v>
      </x:c>
    </x:row>
    <x:row r="478" ht="23" customHeight="1">
      <x:c r="A478" s="11" t="n">
        <x:v>10473</x:v>
      </x:c>
      <x:c r="B478" s="31" t="n">
        <x:v>32.8</x:v>
      </x:c>
      <x:c r="C478" s="31" t="n">
        <x:v>21.9</x:v>
      </x:c>
      <x:c r="D478" s="11" t="n">
        <x:v>2</x:v>
      </x:c>
      <x:c r="E478" s="11" t="n">
        <x:v>25</x:v>
      </x:c>
      <x:c r="F478" s="11" t="n">
        <x:v>1975</x:v>
      </x:c>
      <x:c r="G478" s="31" t="n">
        <x:v>30.2</x:v>
      </x:c>
      <x:c r="H478" s="11" t="n">
        <x:v>2471</x:v>
      </x:c>
      <x:c r="I478" s="11" t="n">
        <x:v>2</x:v>
      </x:c>
      <x:c r="J478" s="11" t="n">
        <x:v>786</x:v>
      </x:c>
      <x:c r="K478" s="9" t="str">
        <x:v>Ср</x:v>
      </x:c>
      <x:c r="L478" s="10" t="n">
        <x:v>33.75</x:v>
      </x:c>
      <x:c r="M478" s="31" t="n">
        <x:v>4920.7</x:v>
      </x:c>
    </x:row>
    <x:row r="479" ht="23" customHeight="1">
      <x:c r="A479" s="12" t="n">
        <x:v>10474</x:v>
      </x:c>
      <x:c r="B479" s="32" t="n">
        <x:v>127.8</x:v>
      </x:c>
      <x:c r="C479" s="32" t="n">
        <x:v>83.4</x:v>
      </x:c>
      <x:c r="D479" s="12" t="n">
        <x:v>5</x:v>
      </x:c>
      <x:c r="E479" s="12" t="n">
        <x:v>20</x:v>
      </x:c>
      <x:c r="F479" s="12" t="n">
        <x:v>2017</x:v>
      </x:c>
      <x:c r="G479" s="32" t="n">
        <x:v>31.1</x:v>
      </x:c>
      <x:c r="H479" s="12" t="n">
        <x:v>2475</x:v>
      </x:c>
      <x:c r="I479" s="12" t="n">
        <x:v>2</x:v>
      </x:c>
      <x:c r="J479" s="12" t="n">
        <x:v>283</x:v>
      </x:c>
      <x:c r="K479" s="3" t="str">
        <x:v>Вс</x:v>
      </x:c>
      <x:c r="L479" s="8" t="n">
        <x:v>59.91</x:v>
      </x:c>
      <x:c r="M479" s="32" t="n">
        <x:v>23565.3</x:v>
      </x:c>
    </x:row>
    <x:row r="480" ht="23" customHeight="1">
      <x:c r="A480" s="11" t="n">
        <x:v>10475</x:v>
      </x:c>
      <x:c r="B480" s="31" t="n">
        <x:v>87.1</x:v>
      </x:c>
      <x:c r="C480" s="31" t="n">
        <x:v>54</x:v>
      </x:c>
      <x:c r="D480" s="11" t="n">
        <x:v>4</x:v>
      </x:c>
      <x:c r="E480" s="11" t="n">
        <x:v>2</x:v>
      </x:c>
      <x:c r="F480" s="11" t="n">
        <x:v>1981</x:v>
      </x:c>
      <x:c r="G480" s="31" t="n">
        <x:v>17.4</x:v>
      </x:c>
      <x:c r="H480" s="11" t="n">
        <x:v>1380</x:v>
      </x:c>
      <x:c r="I480" s="11" t="n">
        <x:v>9</x:v>
      </x:c>
      <x:c r="J480" s="11" t="n">
        <x:v>122</x:v>
      </x:c>
      <x:c r="K480" s="9" t="str">
        <x:v>Ср</x:v>
      </x:c>
      <x:c r="L480" s="10" t="n">
        <x:v>51.5</x:v>
      </x:c>
      <x:c r="M480" s="31" t="n">
        <x:v>16308.9</x:v>
      </x:c>
    </x:row>
    <x:row r="481" ht="23" customHeight="1">
      <x:c r="A481" s="12" t="n">
        <x:v>10476</x:v>
      </x:c>
      <x:c r="B481" s="32" t="n">
        <x:v>139.2</x:v>
      </x:c>
      <x:c r="C481" s="32" t="n">
        <x:v>78.7</x:v>
      </x:c>
      <x:c r="D481" s="12" t="n">
        <x:v>5</x:v>
      </x:c>
      <x:c r="E481" s="12" t="n">
        <x:v>5</x:v>
      </x:c>
      <x:c r="F481" s="12" t="n">
        <x:v>2020</x:v>
      </x:c>
      <x:c r="G481" s="32" t="n">
        <x:v>4.5</x:v>
      </x:c>
      <x:c r="H481" s="12" t="n">
        <x:v>340</x:v>
      </x:c>
      <x:c r="I481" s="12" t="n">
        <x:v>3</x:v>
      </x:c>
      <x:c r="J481" s="12" t="n">
        <x:v>885</x:v>
      </x:c>
      <x:c r="K481" s="3" t="str">
        <x:v>Вт</x:v>
      </x:c>
      <x:c r="L481" s="8" t="n">
        <x:v>84.02</x:v>
      </x:c>
      <x:c r="M481" s="32" t="n">
        <x:v>27828.2</x:v>
      </x:c>
    </x:row>
    <x:row r="482" ht="23" customHeight="1">
      <x:c r="A482" s="11" t="n">
        <x:v>10477</x:v>
      </x:c>
      <x:c r="B482" s="31" t="n">
        <x:v>36.3</x:v>
      </x:c>
      <x:c r="C482" s="31" t="n">
        <x:v>19.8</x:v>
      </x:c>
      <x:c r="D482" s="11" t="n">
        <x:v>1</x:v>
      </x:c>
      <x:c r="E482" s="11" t="n">
        <x:v>3</x:v>
      </x:c>
      <x:c r="F482" s="11" t="n">
        <x:v>2006</x:v>
      </x:c>
      <x:c r="G482" s="31" t="n">
        <x:v>14.8</x:v>
      </x:c>
      <x:c r="H482" s="11" t="n">
        <x:v>1157</x:v>
      </x:c>
      <x:c r="I482" s="11" t="n">
        <x:v>7</x:v>
      </x:c>
      <x:c r="J482" s="11" t="n">
        <x:v>228</x:v>
      </x:c>
      <x:c r="K482" s="9" t="str">
        <x:v>Вс</x:v>
      </x:c>
      <x:c r="L482" s="10" t="n">
        <x:v>62.03</x:v>
      </x:c>
      <x:c r="M482" s="31" t="n">
        <x:v>7806.5</x:v>
      </x:c>
    </x:row>
    <x:row r="483" ht="23" customHeight="1">
      <x:c r="A483" s="12" t="n">
        <x:v>10478</x:v>
      </x:c>
      <x:c r="B483" s="32" t="n">
        <x:v>90</x:v>
      </x:c>
      <x:c r="C483" s="32" t="n">
        <x:v>56.8</x:v>
      </x:c>
      <x:c r="D483" s="12" t="n">
        <x:v>3</x:v>
      </x:c>
      <x:c r="E483" s="12" t="n">
        <x:v>9</x:v>
      </x:c>
      <x:c r="F483" s="12" t="n">
        <x:v>1986</x:v>
      </x:c>
      <x:c r="G483" s="32" t="n">
        <x:v>28.5</x:v>
      </x:c>
      <x:c r="H483" s="12" t="n">
        <x:v>2295</x:v>
      </x:c>
      <x:c r="I483" s="12" t="n">
        <x:v>4</x:v>
      </x:c>
      <x:c r="J483" s="12" t="n">
        <x:v>390</x:v>
      </x:c>
      <x:c r="K483" s="3" t="str">
        <x:v>Пт</x:v>
      </x:c>
      <x:c r="L483" s="8" t="n">
        <x:v>57.85</x:v>
      </x:c>
      <x:c r="M483" s="32" t="n">
        <x:v>15215.3</x:v>
      </x:c>
    </x:row>
    <x:row r="484" ht="23" customHeight="1">
      <x:c r="A484" s="11" t="n">
        <x:v>10479</x:v>
      </x:c>
      <x:c r="B484" s="31" t="n">
        <x:v>136.6</x:v>
      </x:c>
      <x:c r="C484" s="31" t="n">
        <x:v>92.4</x:v>
      </x:c>
      <x:c r="D484" s="11" t="n">
        <x:v>5</x:v>
      </x:c>
      <x:c r="E484" s="11" t="n">
        <x:v>20</x:v>
      </x:c>
      <x:c r="F484" s="11" t="n">
        <x:v>1992</x:v>
      </x:c>
      <x:c r="G484" s="31" t="n">
        <x:v>31.8</x:v>
      </x:c>
      <x:c r="H484" s="11" t="n">
        <x:v>2469</x:v>
      </x:c>
      <x:c r="I484" s="11" t="n">
        <x:v>6</x:v>
      </x:c>
      <x:c r="J484" s="11" t="n">
        <x:v>931</x:v>
      </x:c>
      <x:c r="K484" s="9" t="str">
        <x:v>Сб</x:v>
      </x:c>
      <x:c r="L484" s="10" t="n">
        <x:v>60.04</x:v>
      </x:c>
      <x:c r="M484" s="31" t="n">
        <x:v>24069.4</x:v>
      </x:c>
    </x:row>
    <x:row r="485" ht="23" customHeight="1">
      <x:c r="A485" s="12" t="n">
        <x:v>10480</x:v>
      </x:c>
      <x:c r="B485" s="32" t="n">
        <x:v>86.6</x:v>
      </x:c>
      <x:c r="C485" s="32" t="n">
        <x:v>47.9</x:v>
      </x:c>
      <x:c r="D485" s="12" t="n">
        <x:v>4</x:v>
      </x:c>
      <x:c r="E485" s="12" t="n">
        <x:v>6</x:v>
      </x:c>
      <x:c r="F485" s="12" t="n">
        <x:v>1995</x:v>
      </x:c>
      <x:c r="G485" s="32" t="n">
        <x:v>8.7</x:v>
      </x:c>
      <x:c r="H485" s="12" t="n">
        <x:v>760</x:v>
      </x:c>
      <x:c r="I485" s="12" t="n">
        <x:v>4</x:v>
      </x:c>
      <x:c r="J485" s="12" t="n">
        <x:v>600</x:v>
      </x:c>
      <x:c r="K485" s="3" t="str">
        <x:v>Пн</x:v>
      </x:c>
      <x:c r="L485" s="8" t="n">
        <x:v>57.03</x:v>
      </x:c>
      <x:c r="M485" s="32" t="n">
        <x:v>16192.2</x:v>
      </x:c>
    </x:row>
    <x:row r="486" ht="23" customHeight="1">
      <x:c r="A486" s="11" t="n">
        <x:v>10481</x:v>
      </x:c>
      <x:c r="B486" s="31" t="n">
        <x:v>98.5</x:v>
      </x:c>
      <x:c r="C486" s="31" t="n">
        <x:v>66.7</x:v>
      </x:c>
      <x:c r="D486" s="11" t="n">
        <x:v>4</x:v>
      </x:c>
      <x:c r="E486" s="11" t="n">
        <x:v>18</x:v>
      </x:c>
      <x:c r="F486" s="11" t="n">
        <x:v>1998</x:v>
      </x:c>
      <x:c r="G486" s="31" t="n">
        <x:v>4.2</x:v>
      </x:c>
      <x:c r="H486" s="11" t="n">
        <x:v>303</x:v>
      </x:c>
      <x:c r="I486" s="11" t="n">
        <x:v>7</x:v>
      </x:c>
      <x:c r="J486" s="11" t="n">
        <x:v>285</x:v>
      </x:c>
      <x:c r="K486" s="9" t="str">
        <x:v>Пн</x:v>
      </x:c>
      <x:c r="L486" s="10" t="n">
        <x:v>56.63</x:v>
      </x:c>
      <x:c r="M486" s="31" t="n">
        <x:v>19489.3</x:v>
      </x:c>
    </x:row>
    <x:row r="487" ht="23" customHeight="1">
      <x:c r="A487" s="12" t="n">
        <x:v>10482</x:v>
      </x:c>
      <x:c r="B487" s="32" t="n">
        <x:v>105.9</x:v>
      </x:c>
      <x:c r="C487" s="32" t="n">
        <x:v>63.9</x:v>
      </x:c>
      <x:c r="D487" s="12" t="n">
        <x:v>3</x:v>
      </x:c>
      <x:c r="E487" s="12" t="n">
        <x:v>6</x:v>
      </x:c>
      <x:c r="F487" s="12" t="n">
        <x:v>2002</x:v>
      </x:c>
      <x:c r="G487" s="32" t="n">
        <x:v>31</x:v>
      </x:c>
      <x:c r="H487" s="12" t="n">
        <x:v>2516</x:v>
      </x:c>
      <x:c r="I487" s="12" t="n">
        <x:v>1</x:v>
      </x:c>
      <x:c r="J487" s="12" t="n">
        <x:v>578</x:v>
      </x:c>
      <x:c r="K487" s="3" t="str">
        <x:v>Ср</x:v>
      </x:c>
      <x:c r="L487" s="8" t="n">
        <x:v>46.01</x:v>
      </x:c>
      <x:c r="M487" s="32" t="n">
        <x:v>18743.2</x:v>
      </x:c>
    </x:row>
    <x:row r="488" ht="23" customHeight="1">
      <x:c r="A488" s="11" t="n">
        <x:v>10483</x:v>
      </x:c>
      <x:c r="B488" s="31" t="n">
        <x:v>78.9</x:v>
      </x:c>
      <x:c r="C488" s="31" t="n">
        <x:v>48</x:v>
      </x:c>
      <x:c r="D488" s="11" t="n">
        <x:v>4</x:v>
      </x:c>
      <x:c r="E488" s="11" t="n">
        <x:v>19</x:v>
      </x:c>
      <x:c r="F488" s="11" t="n">
        <x:v>1996</x:v>
      </x:c>
      <x:c r="G488" s="31" t="n">
        <x:v>14.9</x:v>
      </x:c>
      <x:c r="H488" s="11" t="n">
        <x:v>1129</x:v>
      </x:c>
      <x:c r="I488" s="11" t="n">
        <x:v>3</x:v>
      </x:c>
      <x:c r="J488" s="11" t="n">
        <x:v>670</x:v>
      </x:c>
      <x:c r="K488" s="9" t="str">
        <x:v>Вс</x:v>
      </x:c>
      <x:c r="L488" s="10" t="n">
        <x:v>58.03</x:v>
      </x:c>
      <x:c r="M488" s="31" t="n">
        <x:v>14674</x:v>
      </x:c>
    </x:row>
    <x:row r="489" ht="23" customHeight="1">
      <x:c r="A489" s="12" t="n">
        <x:v>10484</x:v>
      </x:c>
      <x:c r="B489" s="32" t="n">
        <x:v>98.3</x:v>
      </x:c>
      <x:c r="C489" s="32" t="n">
        <x:v>70.6</x:v>
      </x:c>
      <x:c r="D489" s="12" t="n">
        <x:v>4</x:v>
      </x:c>
      <x:c r="E489" s="12" t="n">
        <x:v>12</x:v>
      </x:c>
      <x:c r="F489" s="12" t="n">
        <x:v>1994</x:v>
      </x:c>
      <x:c r="G489" s="32" t="n">
        <x:v>19.9</x:v>
      </x:c>
      <x:c r="H489" s="12" t="n">
        <x:v>1625</x:v>
      </x:c>
      <x:c r="I489" s="12" t="n">
        <x:v>3</x:v>
      </x:c>
      <x:c r="J489" s="12" t="n">
        <x:v>591</x:v>
      </x:c>
      <x:c r="K489" s="3" t="str">
        <x:v>Ср</x:v>
      </x:c>
      <x:c r="L489" s="8" t="n">
        <x:v>64.23</x:v>
      </x:c>
      <x:c r="M489" s="32" t="n">
        <x:v>17991.4</x:v>
      </x:c>
    </x:row>
    <x:row r="490" ht="23" customHeight="1">
      <x:c r="A490" s="11" t="n">
        <x:v>10485</x:v>
      </x:c>
      <x:c r="B490" s="31" t="n">
        <x:v>93.4</x:v>
      </x:c>
      <x:c r="C490" s="31" t="n">
        <x:v>56.1</x:v>
      </x:c>
      <x:c r="D490" s="11" t="n">
        <x:v>4</x:v>
      </x:c>
      <x:c r="E490" s="11" t="n">
        <x:v>25</x:v>
      </x:c>
      <x:c r="F490" s="11" t="n">
        <x:v>1979</x:v>
      </x:c>
      <x:c r="G490" s="31" t="n">
        <x:v>33.9</x:v>
      </x:c>
      <x:c r="H490" s="11" t="n">
        <x:v>2746</x:v>
      </x:c>
      <x:c r="I490" s="11" t="n">
        <x:v>1</x:v>
      </x:c>
      <x:c r="J490" s="11" t="n">
        <x:v>612</x:v>
      </x:c>
      <x:c r="K490" s="9" t="str">
        <x:v>Чт</x:v>
      </x:c>
      <x:c r="L490" s="10" t="n">
        <x:v>65.9</x:v>
      </x:c>
      <x:c r="M490" s="31" t="n">
        <x:v>15314.3</x:v>
      </x:c>
    </x:row>
    <x:row r="491" ht="23" customHeight="1">
      <x:c r="A491" s="12" t="n">
        <x:v>10486</x:v>
      </x:c>
      <x:c r="B491" s="32" t="n">
        <x:v>128.9</x:v>
      </x:c>
      <x:c r="C491" s="32" t="n">
        <x:v>81</x:v>
      </x:c>
      <x:c r="D491" s="12" t="n">
        <x:v>5</x:v>
      </x:c>
      <x:c r="E491" s="12" t="n">
        <x:v>11</x:v>
      </x:c>
      <x:c r="F491" s="12" t="n">
        <x:v>2016</x:v>
      </x:c>
      <x:c r="G491" s="32" t="n">
        <x:v>4.2</x:v>
      </x:c>
      <x:c r="H491" s="12" t="n">
        <x:v>355</x:v>
      </x:c>
      <x:c r="I491" s="12" t="n">
        <x:v>6</x:v>
      </x:c>
      <x:c r="J491" s="12" t="n">
        <x:v>742</x:v>
      </x:c>
      <x:c r="K491" s="3" t="str">
        <x:v>Пт</x:v>
      </x:c>
      <x:c r="L491" s="8" t="n">
        <x:v>64.09</x:v>
      </x:c>
      <x:c r="M491" s="32" t="n">
        <x:v>26343.4</x:v>
      </x:c>
    </x:row>
    <x:row r="492" ht="23" customHeight="1">
      <x:c r="A492" s="11" t="n">
        <x:v>10487</x:v>
      </x:c>
      <x:c r="B492" s="31" t="n">
        <x:v>33.1</x:v>
      </x:c>
      <x:c r="C492" s="31" t="n">
        <x:v>17.4</x:v>
      </x:c>
      <x:c r="D492" s="11" t="n">
        <x:v>2</x:v>
      </x:c>
      <x:c r="E492" s="11" t="n">
        <x:v>2</x:v>
      </x:c>
      <x:c r="F492" s="11" t="n">
        <x:v>1992</x:v>
      </x:c>
      <x:c r="G492" s="31" t="n">
        <x:v>23.4</x:v>
      </x:c>
      <x:c r="H492" s="11" t="n">
        <x:v>1822</x:v>
      </x:c>
      <x:c r="I492" s="11" t="n">
        <x:v>9</x:v>
      </x:c>
      <x:c r="J492" s="11" t="n">
        <x:v>166</x:v>
      </x:c>
      <x:c r="K492" s="9" t="str">
        <x:v>Сб</x:v>
      </x:c>
      <x:c r="L492" s="10" t="n">
        <x:v>72.62</x:v>
      </x:c>
      <x:c r="M492" s="31" t="n">
        <x:v>5986.9</x:v>
      </x:c>
    </x:row>
    <x:row r="493" ht="23" customHeight="1">
      <x:c r="A493" s="12" t="n">
        <x:v>10488</x:v>
      </x:c>
      <x:c r="B493" s="32" t="n">
        <x:v>59.5</x:v>
      </x:c>
      <x:c r="C493" s="32" t="n">
        <x:v>34</x:v>
      </x:c>
      <x:c r="D493" s="12" t="n">
        <x:v>2</x:v>
      </x:c>
      <x:c r="E493" s="12" t="n">
        <x:v>15</x:v>
      </x:c>
      <x:c r="F493" s="12" t="n">
        <x:v>1990</x:v>
      </x:c>
      <x:c r="G493" s="32" t="n">
        <x:v>4.4</x:v>
      </x:c>
      <x:c r="H493" s="12" t="n">
        <x:v>364</x:v>
      </x:c>
      <x:c r="I493" s="12" t="n">
        <x:v>8</x:v>
      </x:c>
      <x:c r="J493" s="12" t="n">
        <x:v>904</x:v>
      </x:c>
      <x:c r="K493" s="3" t="str">
        <x:v>Ср</x:v>
      </x:c>
      <x:c r="L493" s="8" t="n">
        <x:v>66.84</x:v>
      </x:c>
      <x:c r="M493" s="32" t="n">
        <x:v>13228.5</x:v>
      </x:c>
    </x:row>
    <x:row r="494" ht="23" customHeight="1">
      <x:c r="A494" s="11" t="n">
        <x:v>10489</x:v>
      </x:c>
      <x:c r="B494" s="31" t="n">
        <x:v>134.4</x:v>
      </x:c>
      <x:c r="C494" s="31" t="n">
        <x:v>79.6</x:v>
      </x:c>
      <x:c r="D494" s="11" t="n">
        <x:v>5</x:v>
      </x:c>
      <x:c r="E494" s="11" t="n">
        <x:v>12</x:v>
      </x:c>
      <x:c r="F494" s="11" t="n">
        <x:v>1990</x:v>
      </x:c>
      <x:c r="G494" s="31" t="n">
        <x:v>14.4</x:v>
      </x:c>
      <x:c r="H494" s="11" t="n">
        <x:v>1093</x:v>
      </x:c>
      <x:c r="I494" s="11" t="n">
        <x:v>7</x:v>
      </x:c>
      <x:c r="J494" s="11" t="n">
        <x:v>566</x:v>
      </x:c>
      <x:c r="K494" s="9" t="str">
        <x:v>Чт</x:v>
      </x:c>
      <x:c r="L494" s="10" t="n">
        <x:v>59.43</x:v>
      </x:c>
      <x:c r="M494" s="31" t="n">
        <x:v>24827.5</x:v>
      </x:c>
    </x:row>
    <x:row r="495" ht="23" customHeight="1">
      <x:c r="A495" s="12" t="n">
        <x:v>10490</x:v>
      </x:c>
      <x:c r="B495" s="32" t="n">
        <x:v>127.7</x:v>
      </x:c>
      <x:c r="C495" s="32" t="n">
        <x:v>67.9</x:v>
      </x:c>
      <x:c r="D495" s="12" t="n">
        <x:v>5</x:v>
      </x:c>
      <x:c r="E495" s="12" t="n">
        <x:v>12</x:v>
      </x:c>
      <x:c r="F495" s="12" t="n">
        <x:v>2012</x:v>
      </x:c>
      <x:c r="G495" s="32" t="n">
        <x:v>28.5</x:v>
      </x:c>
      <x:c r="H495" s="12" t="n">
        <x:v>2267</x:v>
      </x:c>
      <x:c r="I495" s="12" t="n">
        <x:v>8</x:v>
      </x:c>
      <x:c r="J495" s="12" t="n">
        <x:v>384</x:v>
      </x:c>
      <x:c r="K495" s="3" t="str">
        <x:v>Вс</x:v>
      </x:c>
      <x:c r="L495" s="8" t="n">
        <x:v>32.85</x:v>
      </x:c>
      <x:c r="M495" s="32" t="n">
        <x:v>24069.4</x:v>
      </x:c>
    </x:row>
    <x:row r="496" ht="23" customHeight="1">
      <x:c r="A496" s="11" t="n">
        <x:v>10491</x:v>
      </x:c>
      <x:c r="B496" s="31" t="n">
        <x:v>79</x:v>
      </x:c>
      <x:c r="C496" s="31" t="n">
        <x:v>54</x:v>
      </x:c>
      <x:c r="D496" s="11" t="n">
        <x:v>3</x:v>
      </x:c>
      <x:c r="E496" s="11" t="n">
        <x:v>9</x:v>
      </x:c>
      <x:c r="F496" s="11" t="n">
        <x:v>1982</x:v>
      </x:c>
      <x:c r="G496" s="31" t="n">
        <x:v>16.3</x:v>
      </x:c>
      <x:c r="H496" s="11" t="n">
        <x:v>1355</x:v>
      </x:c>
      <x:c r="I496" s="11" t="n">
        <x:v>6</x:v>
      </x:c>
      <x:c r="J496" s="11" t="n">
        <x:v>700</x:v>
      </x:c>
      <x:c r="K496" s="9" t="str">
        <x:v>Пт</x:v>
      </x:c>
      <x:c r="L496" s="10" t="n">
        <x:v>32.85</x:v>
      </x:c>
      <x:c r="M496" s="31" t="n">
        <x:v>13872.1</x:v>
      </x:c>
    </x:row>
    <x:row r="497" ht="23" customHeight="1">
      <x:c r="A497" s="12" t="n">
        <x:v>10492</x:v>
      </x:c>
      <x:c r="B497" s="32" t="n">
        <x:v>97.5</x:v>
      </x:c>
      <x:c r="C497" s="32" t="n">
        <x:v>61.8</x:v>
      </x:c>
      <x:c r="D497" s="12" t="n">
        <x:v>4</x:v>
      </x:c>
      <x:c r="E497" s="12" t="n">
        <x:v>21</x:v>
      </x:c>
      <x:c r="F497" s="12" t="n">
        <x:v>2006</x:v>
      </x:c>
      <x:c r="G497" s="32" t="n">
        <x:v>34.9</x:v>
      </x:c>
      <x:c r="H497" s="12" t="n">
        <x:v>2832</x:v>
      </x:c>
      <x:c r="I497" s="12" t="n">
        <x:v>9</x:v>
      </x:c>
      <x:c r="J497" s="12" t="n">
        <x:v>516</x:v>
      </x:c>
      <x:c r="K497" s="3" t="str">
        <x:v>Сб</x:v>
      </x:c>
      <x:c r="L497" s="8" t="n">
        <x:v>46.28</x:v>
      </x:c>
      <x:c r="M497" s="32" t="n">
        <x:v>18014.7</x:v>
      </x:c>
    </x:row>
    <x:row r="498" ht="23" customHeight="1">
      <x:c r="A498" s="11" t="n">
        <x:v>10493</x:v>
      </x:c>
      <x:c r="B498" s="31" t="n">
        <x:v>59.1</x:v>
      </x:c>
      <x:c r="C498" s="31" t="n">
        <x:v>36.8</x:v>
      </x:c>
      <x:c r="D498" s="11" t="n">
        <x:v>3</x:v>
      </x:c>
      <x:c r="E498" s="11" t="n">
        <x:v>24</x:v>
      </x:c>
      <x:c r="F498" s="11" t="n">
        <x:v>2002</x:v>
      </x:c>
      <x:c r="G498" s="31" t="n">
        <x:v>20.4</x:v>
      </x:c>
      <x:c r="H498" s="11" t="n">
        <x:v>1633</x:v>
      </x:c>
      <x:c r="I498" s="11" t="n">
        <x:v>3</x:v>
      </x:c>
      <x:c r="J498" s="11" t="n">
        <x:v>199</x:v>
      </x:c>
      <x:c r="K498" s="9" t="str">
        <x:v>Пн</x:v>
      </x:c>
      <x:c r="L498" s="10" t="n">
        <x:v>50.7</x:v>
      </x:c>
      <x:c r="M498" s="31" t="n">
        <x:v>11639.5</x:v>
      </x:c>
    </x:row>
    <x:row r="499" ht="23" customHeight="1">
      <x:c r="A499" s="12" t="n">
        <x:v>10494</x:v>
      </x:c>
      <x:c r="B499" s="32" t="n">
        <x:v>49.1</x:v>
      </x:c>
      <x:c r="C499" s="32" t="n">
        <x:v>26.6</x:v>
      </x:c>
      <x:c r="D499" s="12" t="n">
        <x:v>2</x:v>
      </x:c>
      <x:c r="E499" s="12" t="n">
        <x:v>2</x:v>
      </x:c>
      <x:c r="F499" s="12" t="n">
        <x:v>1993</x:v>
      </x:c>
      <x:c r="G499" s="32" t="n">
        <x:v>12.6</x:v>
      </x:c>
      <x:c r="H499" s="12" t="n">
        <x:v>959</x:v>
      </x:c>
      <x:c r="I499" s="12" t="n">
        <x:v>9</x:v>
      </x:c>
      <x:c r="J499" s="12" t="n">
        <x:v>288</x:v>
      </x:c>
      <x:c r="K499" s="3" t="str">
        <x:v>Чт</x:v>
      </x:c>
      <x:c r="L499" s="8" t="n">
        <x:v>70.97</x:v>
      </x:c>
      <x:c r="M499" s="32" t="n">
        <x:v>10633.8</x:v>
      </x:c>
    </x:row>
    <x:row r="500" ht="23" customHeight="1">
      <x:c r="A500" s="11" t="n">
        <x:v>10495</x:v>
      </x:c>
      <x:c r="B500" s="31" t="n">
        <x:v>79.9</x:v>
      </x:c>
      <x:c r="C500" s="31" t="n">
        <x:v>48</x:v>
      </x:c>
      <x:c r="D500" s="11" t="n">
        <x:v>3</x:v>
      </x:c>
      <x:c r="E500" s="11" t="n">
        <x:v>22</x:v>
      </x:c>
      <x:c r="F500" s="11" t="n">
        <x:v>2013</x:v>
      </x:c>
      <x:c r="G500" s="31" t="n">
        <x:v>9.3</x:v>
      </x:c>
      <x:c r="H500" s="11" t="n">
        <x:v>776</x:v>
      </x:c>
      <x:c r="I500" s="11" t="n">
        <x:v>4</x:v>
      </x:c>
      <x:c r="J500" s="11" t="n">
        <x:v>989</x:v>
      </x:c>
      <x:c r="K500" s="9" t="str">
        <x:v>Вс</x:v>
      </x:c>
      <x:c r="L500" s="10" t="n">
        <x:v>8.3</x:v>
      </x:c>
      <x:c r="M500" s="31" t="n">
        <x:v>17507.4</x:v>
      </x:c>
    </x:row>
    <x:row r="501" ht="23" customHeight="1">
      <x:c r="A501" s="12" t="n">
        <x:v>10496</x:v>
      </x:c>
      <x:c r="B501" s="32" t="n">
        <x:v>67.6</x:v>
      </x:c>
      <x:c r="C501" s="32" t="n">
        <x:v>44</x:v>
      </x:c>
      <x:c r="D501" s="12" t="n">
        <x:v>3</x:v>
      </x:c>
      <x:c r="E501" s="12" t="n">
        <x:v>3</x:v>
      </x:c>
      <x:c r="F501" s="12" t="n">
        <x:v>1980</x:v>
      </x:c>
      <x:c r="G501" s="32" t="n">
        <x:v>13.6</x:v>
      </x:c>
      <x:c r="H501" s="12" t="n">
        <x:v>1089</x:v>
      </x:c>
      <x:c r="I501" s="12" t="n">
        <x:v>7</x:v>
      </x:c>
      <x:c r="J501" s="12" t="n">
        <x:v>957</x:v>
      </x:c>
      <x:c r="K501" s="3" t="str">
        <x:v>Пт</x:v>
      </x:c>
      <x:c r="L501" s="8" t="n">
        <x:v>34.5</x:v>
      </x:c>
      <x:c r="M501" s="32" t="n">
        <x:v>11264.6</x:v>
      </x:c>
    </x:row>
    <x:row r="502" ht="23" customHeight="1">
      <x:c r="A502" s="11" t="n">
        <x:v>10497</x:v>
      </x:c>
      <x:c r="B502" s="31" t="n">
        <x:v>93.4</x:v>
      </x:c>
      <x:c r="C502" s="31" t="n">
        <x:v>65.4</x:v>
      </x:c>
      <x:c r="D502" s="11" t="n">
        <x:v>5</x:v>
      </x:c>
      <x:c r="E502" s="11" t="n">
        <x:v>12</x:v>
      </x:c>
      <x:c r="F502" s="11" t="n">
        <x:v>1986</x:v>
      </x:c>
      <x:c r="G502" s="31" t="n">
        <x:v>14.3</x:v>
      </x:c>
      <x:c r="H502" s="11" t="n">
        <x:v>1028</x:v>
      </x:c>
      <x:c r="I502" s="11" t="n">
        <x:v>9</x:v>
      </x:c>
      <x:c r="J502" s="11" t="n">
        <x:v>487</x:v>
      </x:c>
      <x:c r="K502" s="9" t="str">
        <x:v>Чт</x:v>
      </x:c>
      <x:c r="L502" s="10" t="n">
        <x:v>47.09</x:v>
      </x:c>
      <x:c r="M502" s="31" t="n">
        <x:v>17662.1</x:v>
      </x:c>
    </x:row>
    <x:row r="503" ht="23" customHeight="1">
      <x:c r="A503" s="12" t="n">
        <x:v>10498</x:v>
      </x:c>
      <x:c r="B503" s="32" t="n">
        <x:v>36.7</x:v>
      </x:c>
      <x:c r="C503" s="32" t="n">
        <x:v>20.7</x:v>
      </x:c>
      <x:c r="D503" s="12" t="n">
        <x:v>1</x:v>
      </x:c>
      <x:c r="E503" s="12" t="n">
        <x:v>16</x:v>
      </x:c>
      <x:c r="F503" s="12" t="n">
        <x:v>1973</x:v>
      </x:c>
      <x:c r="G503" s="32" t="n">
        <x:v>4.3</x:v>
      </x:c>
      <x:c r="H503" s="12" t="n">
        <x:v>383</x:v>
      </x:c>
      <x:c r="I503" s="12" t="n">
        <x:v>2</x:v>
      </x:c>
      <x:c r="J503" s="12" t="n">
        <x:v>340</x:v>
      </x:c>
      <x:c r="K503" s="3" t="str">
        <x:v>Ср</x:v>
      </x:c>
      <x:c r="L503" s="8" t="n">
        <x:v>35.05</x:v>
      </x:c>
      <x:c r="M503" s="32" t="n">
        <x:v>8417.9</x:v>
      </x:c>
    </x:row>
    <x:row r="504" ht="23" customHeight="1">
      <x:c r="A504" s="11" t="n">
        <x:v>10499</x:v>
      </x:c>
      <x:c r="B504" s="31" t="n">
        <x:v>137.1</x:v>
      </x:c>
      <x:c r="C504" s="31" t="n">
        <x:v>94.5</x:v>
      </x:c>
      <x:c r="D504" s="11" t="n">
        <x:v>5</x:v>
      </x:c>
      <x:c r="E504" s="11" t="n">
        <x:v>21</x:v>
      </x:c>
      <x:c r="F504" s="11" t="n">
        <x:v>2016</x:v>
      </x:c>
      <x:c r="G504" s="31" t="n">
        <x:v>14.2</x:v>
      </x:c>
      <x:c r="H504" s="11" t="n">
        <x:v>1135</x:v>
      </x:c>
      <x:c r="I504" s="11" t="n">
        <x:v>2</x:v>
      </x:c>
      <x:c r="J504" s="11" t="n">
        <x:v>881</x:v>
      </x:c>
      <x:c r="K504" s="9" t="str">
        <x:v>Вт</x:v>
      </x:c>
      <x:c r="L504" s="10" t="n">
        <x:v>38.03</x:v>
      </x:c>
      <x:c r="M504" s="31" t="n">
        <x:v>27231.4</x:v>
      </x:c>
    </x:row>
    <x:row r="505" ht="23" customHeight="1">
      <x:c r="A505" s="12" t="n">
        <x:v>10500</x:v>
      </x:c>
      <x:c r="B505" s="32" t="n">
        <x:v>138.5</x:v>
      </x:c>
      <x:c r="C505" s="32" t="n">
        <x:v>90.3</x:v>
      </x:c>
      <x:c r="D505" s="12" t="n">
        <x:v>5</x:v>
      </x:c>
      <x:c r="E505" s="12" t="n">
        <x:v>24</x:v>
      </x:c>
      <x:c r="F505" s="12" t="n">
        <x:v>1994</x:v>
      </x:c>
      <x:c r="G505" s="32" t="n">
        <x:v>17.3</x:v>
      </x:c>
      <x:c r="H505" s="12" t="n">
        <x:v>1444</x:v>
      </x:c>
      <x:c r="I505" s="12" t="n">
        <x:v>9</x:v>
      </x:c>
      <x:c r="J505" s="12" t="n">
        <x:v>830</x:v>
      </x:c>
      <x:c r="K505" s="3" t="str">
        <x:v>Пн</x:v>
      </x:c>
      <x:c r="L505" s="8" t="n">
        <x:v>42.51</x:v>
      </x:c>
      <x:c r="M505" s="32" t="n">
        <x:v>25124.5</x:v>
      </x:c>
    </x:row>
    <x:row r="506" ht="23" customHeight="1">
      <x:c r="A506" s="11" t="n">
        <x:v>10501</x:v>
      </x:c>
      <x:c r="B506" s="31" t="n">
        <x:v>106.2</x:v>
      </x:c>
      <x:c r="C506" s="31" t="n">
        <x:v>68.2</x:v>
      </x:c>
      <x:c r="D506" s="11" t="n">
        <x:v>5</x:v>
      </x:c>
      <x:c r="E506" s="11" t="n">
        <x:v>1</x:v>
      </x:c>
      <x:c r="F506" s="11" t="n">
        <x:v>1999</x:v>
      </x:c>
      <x:c r="G506" s="31" t="n">
        <x:v>25.9</x:v>
      </x:c>
      <x:c r="H506" s="11" t="n">
        <x:v>2017</x:v>
      </x:c>
      <x:c r="I506" s="11" t="n">
        <x:v>3</x:v>
      </x:c>
      <x:c r="J506" s="11" t="n">
        <x:v>516</x:v>
      </x:c>
      <x:c r="K506" s="9" t="str">
        <x:v>Ср</x:v>
      </x:c>
      <x:c r="L506" s="10" t="n">
        <x:v>35.81</x:v>
      </x:c>
      <x:c r="M506" s="31" t="n">
        <x:v>19215.2</x:v>
      </x:c>
    </x:row>
    <x:row r="507" ht="23" customHeight="1">
      <x:c r="A507" s="12" t="n">
        <x:v>10502</x:v>
      </x:c>
      <x:c r="B507" s="32" t="n">
        <x:v>88</x:v>
      </x:c>
      <x:c r="C507" s="32" t="n">
        <x:v>53.4</x:v>
      </x:c>
      <x:c r="D507" s="12" t="n">
        <x:v>4</x:v>
      </x:c>
      <x:c r="E507" s="12" t="n">
        <x:v>21</x:v>
      </x:c>
      <x:c r="F507" s="12" t="n">
        <x:v>1978</x:v>
      </x:c>
      <x:c r="G507" s="32" t="n">
        <x:v>23.7</x:v>
      </x:c>
      <x:c r="H507" s="12" t="n">
        <x:v>1737</x:v>
      </x:c>
      <x:c r="I507" s="12" t="n">
        <x:v>9</x:v>
      </x:c>
      <x:c r="J507" s="12" t="n">
        <x:v>275</x:v>
      </x:c>
      <x:c r="K507" s="3" t="str">
        <x:v>Ср</x:v>
      </x:c>
      <x:c r="L507" s="8" t="n">
        <x:v>38.41</x:v>
      </x:c>
      <x:c r="M507" s="32" t="n">
        <x:v>15516.3</x:v>
      </x:c>
    </x:row>
    <x:row r="508" ht="23" customHeight="1">
      <x:c r="A508" s="11" t="n">
        <x:v>10503</x:v>
      </x:c>
      <x:c r="B508" s="31" t="n">
        <x:v>62.7</x:v>
      </x:c>
      <x:c r="C508" s="31" t="n">
        <x:v>37.2</x:v>
      </x:c>
      <x:c r="D508" s="11" t="n">
        <x:v>3</x:v>
      </x:c>
      <x:c r="E508" s="11" t="n">
        <x:v>3</x:v>
      </x:c>
      <x:c r="F508" s="11" t="n">
        <x:v>1990</x:v>
      </x:c>
      <x:c r="G508" s="31" t="n">
        <x:v>25.4</x:v>
      </x:c>
      <x:c r="H508" s="11" t="n">
        <x:v>2046</x:v>
      </x:c>
      <x:c r="I508" s="11" t="n">
        <x:v>5</x:v>
      </x:c>
      <x:c r="J508" s="11" t="n">
        <x:v>486</x:v>
      </x:c>
      <x:c r="K508" s="9" t="str">
        <x:v>Вс</x:v>
      </x:c>
      <x:c r="L508" s="10" t="n">
        <x:v>70.45</x:v>
      </x:c>
      <x:c r="M508" s="31" t="n">
        <x:v>11213.6</x:v>
      </x:c>
    </x:row>
    <x:row r="509" ht="23" customHeight="1">
      <x:c r="A509" s="12" t="n">
        <x:v>10504</x:v>
      </x:c>
      <x:c r="B509" s="32" t="n">
        <x:v>119.1</x:v>
      </x:c>
      <x:c r="C509" s="32" t="n">
        <x:v>69.6</x:v>
      </x:c>
      <x:c r="D509" s="12" t="n">
        <x:v>4</x:v>
      </x:c>
      <x:c r="E509" s="12" t="n">
        <x:v>20</x:v>
      </x:c>
      <x:c r="F509" s="12" t="n">
        <x:v>1989</x:v>
      </x:c>
      <x:c r="G509" s="32" t="n">
        <x:v>2.3</x:v>
      </x:c>
      <x:c r="H509" s="12" t="n">
        <x:v>199</x:v>
      </x:c>
      <x:c r="I509" s="12" t="n">
        <x:v>6</x:v>
      </x:c>
      <x:c r="J509" s="12" t="n">
        <x:v>570</x:v>
      </x:c>
      <x:c r="K509" s="3" t="str">
        <x:v>Вс</x:v>
      </x:c>
      <x:c r="L509" s="8" t="n">
        <x:v>59.21</x:v>
      </x:c>
      <x:c r="M509" s="32" t="n">
        <x:v>23828.5</x:v>
      </x:c>
    </x:row>
    <x:row r="510" ht="23" customHeight="1">
      <x:c r="A510" s="11" t="n">
        <x:v>10505</x:v>
      </x:c>
      <x:c r="B510" s="31" t="n">
        <x:v>104.7</x:v>
      </x:c>
      <x:c r="C510" s="31" t="n">
        <x:v>71.8</x:v>
      </x:c>
      <x:c r="D510" s="11" t="n">
        <x:v>5</x:v>
      </x:c>
      <x:c r="E510" s="11" t="n">
        <x:v>2</x:v>
      </x:c>
      <x:c r="F510" s="11" t="n">
        <x:v>1988</x:v>
      </x:c>
      <x:c r="G510" s="31" t="n">
        <x:v>9.2</x:v>
      </x:c>
      <x:c r="H510" s="11" t="n">
        <x:v>651</x:v>
      </x:c>
      <x:c r="I510" s="11" t="n">
        <x:v>2</x:v>
      </x:c>
      <x:c r="J510" s="11" t="n">
        <x:v>952</x:v>
      </x:c>
      <x:c r="K510" s="9" t="str">
        <x:v>Пт</x:v>
      </x:c>
      <x:c r="L510" s="10" t="n">
        <x:v>61.46</x:v>
      </x:c>
      <x:c r="M510" s="31" t="n">
        <x:v>20319</x:v>
      </x:c>
    </x:row>
    <x:row r="511" ht="23" customHeight="1">
      <x:c r="A511" s="12" t="n">
        <x:v>10506</x:v>
      </x:c>
      <x:c r="B511" s="32" t="n">
        <x:v>46.2</x:v>
      </x:c>
      <x:c r="C511" s="32" t="n">
        <x:v>26.1</x:v>
      </x:c>
      <x:c r="D511" s="12" t="n">
        <x:v>1</x:v>
      </x:c>
      <x:c r="E511" s="12" t="n">
        <x:v>9</x:v>
      </x:c>
      <x:c r="F511" s="12" t="n">
        <x:v>1988</x:v>
      </x:c>
      <x:c r="G511" s="32" t="n">
        <x:v>23.8</x:v>
      </x:c>
      <x:c r="H511" s="12" t="n">
        <x:v>1855</x:v>
      </x:c>
      <x:c r="I511" s="12" t="n">
        <x:v>8</x:v>
      </x:c>
      <x:c r="J511" s="12" t="n">
        <x:v>332</x:v>
      </x:c>
      <x:c r="K511" s="3" t="str">
        <x:v>Вс</x:v>
      </x:c>
      <x:c r="L511" s="8" t="n">
        <x:v>49.49</x:v>
      </x:c>
      <x:c r="M511" s="32" t="n">
        <x:v>8018.9</x:v>
      </x:c>
    </x:row>
    <x:row r="512" ht="23" customHeight="1">
      <x:c r="A512" s="11" t="n">
        <x:v>10507</x:v>
      </x:c>
      <x:c r="B512" s="31" t="n">
        <x:v>130</x:v>
      </x:c>
      <x:c r="C512" s="31" t="n">
        <x:v>89.8</x:v>
      </x:c>
      <x:c r="D512" s="11" t="n">
        <x:v>5</x:v>
      </x:c>
      <x:c r="E512" s="11" t="n">
        <x:v>19</x:v>
      </x:c>
      <x:c r="F512" s="11" t="n">
        <x:v>1981</x:v>
      </x:c>
      <x:c r="G512" s="31" t="n">
        <x:v>18</x:v>
      </x:c>
      <x:c r="H512" s="11" t="n">
        <x:v>1578</x:v>
      </x:c>
      <x:c r="I512" s="11" t="n">
        <x:v>9</x:v>
      </x:c>
      <x:c r="J512" s="11" t="n">
        <x:v>762</x:v>
      </x:c>
      <x:c r="K512" s="9" t="str">
        <x:v>Чт</x:v>
      </x:c>
      <x:c r="L512" s="10" t="n">
        <x:v>65.17</x:v>
      </x:c>
      <x:c r="M512" s="31" t="n">
        <x:v>23534.4</x:v>
      </x:c>
    </x:row>
    <x:row r="513" ht="23" customHeight="1">
      <x:c r="A513" s="12" t="n">
        <x:v>10508</x:v>
      </x:c>
      <x:c r="B513" s="32" t="n">
        <x:v>120.1</x:v>
      </x:c>
      <x:c r="C513" s="32" t="n">
        <x:v>70.3</x:v>
      </x:c>
      <x:c r="D513" s="12" t="n">
        <x:v>4</x:v>
      </x:c>
      <x:c r="E513" s="12" t="n">
        <x:v>15</x:v>
      </x:c>
      <x:c r="F513" s="12" t="n">
        <x:v>2006</x:v>
      </x:c>
      <x:c r="G513" s="32" t="n">
        <x:v>2.2</x:v>
      </x:c>
      <x:c r="H513" s="12" t="n">
        <x:v>161</x:v>
      </x:c>
      <x:c r="I513" s="12" t="n">
        <x:v>2</x:v>
      </x:c>
      <x:c r="J513" s="12" t="n">
        <x:v>551</x:v>
      </x:c>
      <x:c r="K513" s="3" t="str">
        <x:v>Пн</x:v>
      </x:c>
      <x:c r="L513" s="8" t="n">
        <x:v>62.72</x:v>
      </x:c>
      <x:c r="M513" s="32" t="n">
        <x:v>24247</x:v>
      </x:c>
    </x:row>
    <x:row r="514" ht="23" customHeight="1">
      <x:c r="A514" s="11" t="n">
        <x:v>10509</x:v>
      </x:c>
      <x:c r="B514" s="31" t="n">
        <x:v>134.4</x:v>
      </x:c>
      <x:c r="C514" s="31" t="n">
        <x:v>77.6</x:v>
      </x:c>
      <x:c r="D514" s="11" t="n">
        <x:v>5</x:v>
      </x:c>
      <x:c r="E514" s="11" t="n">
        <x:v>18</x:v>
      </x:c>
      <x:c r="F514" s="11" t="n">
        <x:v>2011</x:v>
      </x:c>
      <x:c r="G514" s="31" t="n">
        <x:v>28.5</x:v>
      </x:c>
      <x:c r="H514" s="11" t="n">
        <x:v>2317</x:v>
      </x:c>
      <x:c r="I514" s="11" t="n">
        <x:v>6</x:v>
      </x:c>
      <x:c r="J514" s="11" t="n">
        <x:v>376</x:v>
      </x:c>
      <x:c r="K514" s="9" t="str">
        <x:v>Ср</x:v>
      </x:c>
      <x:c r="L514" s="10" t="n">
        <x:v>58.98</x:v>
      </x:c>
      <x:c r="M514" s="31" t="n">
        <x:v>24409.8</x:v>
      </x:c>
    </x:row>
    <x:row r="515" ht="23" customHeight="1">
      <x:c r="A515" s="12" t="n">
        <x:v>10510</x:v>
      </x:c>
      <x:c r="B515" s="32" t="n">
        <x:v>109.3</x:v>
      </x:c>
      <x:c r="C515" s="32" t="n">
        <x:v>71</x:v>
      </x:c>
      <x:c r="D515" s="12" t="n">
        <x:v>5</x:v>
      </x:c>
      <x:c r="E515" s="12" t="n">
        <x:v>11</x:v>
      </x:c>
      <x:c r="F515" s="12" t="n">
        <x:v>1986</x:v>
      </x:c>
      <x:c r="G515" s="32" t="n">
        <x:v>27.5</x:v>
      </x:c>
      <x:c r="H515" s="12" t="n">
        <x:v>2167</x:v>
      </x:c>
      <x:c r="I515" s="12" t="n">
        <x:v>6</x:v>
      </x:c>
      <x:c r="J515" s="12" t="n">
        <x:v>328</x:v>
      </x:c>
      <x:c r="K515" s="3" t="str">
        <x:v>Пт</x:v>
      </x:c>
      <x:c r="L515" s="8" t="n">
        <x:v>40.19</x:v>
      </x:c>
      <x:c r="M515" s="32" t="n">
        <x:v>18890.3</x:v>
      </x:c>
    </x:row>
    <x:row r="516" ht="23" customHeight="1">
      <x:c r="A516" s="11" t="n">
        <x:v>10511</x:v>
      </x:c>
      <x:c r="B516" s="31" t="n">
        <x:v>96.7</x:v>
      </x:c>
      <x:c r="C516" s="31" t="n">
        <x:v>60.3</x:v>
      </x:c>
      <x:c r="D516" s="11" t="n">
        <x:v>4</x:v>
      </x:c>
      <x:c r="E516" s="11" t="n">
        <x:v>25</x:v>
      </x:c>
      <x:c r="F516" s="11" t="n">
        <x:v>2006</x:v>
      </x:c>
      <x:c r="G516" s="31" t="n">
        <x:v>20.1</x:v>
      </x:c>
      <x:c r="H516" s="11" t="n">
        <x:v>1503</x:v>
      </x:c>
      <x:c r="I516" s="11" t="n">
        <x:v>8</x:v>
      </x:c>
      <x:c r="J516" s="11" t="n">
        <x:v>270</x:v>
      </x:c>
      <x:c r="K516" s="9" t="str">
        <x:v>Пн</x:v>
      </x:c>
      <x:c r="L516" s="10" t="n">
        <x:v>43.37</x:v>
      </x:c>
      <x:c r="M516" s="31" t="n">
        <x:v>18721.2</x:v>
      </x:c>
    </x:row>
    <x:row r="517" ht="23" customHeight="1">
      <x:c r="A517" s="12" t="n">
        <x:v>10512</x:v>
      </x:c>
      <x:c r="B517" s="32" t="n">
        <x:v>74.8</x:v>
      </x:c>
      <x:c r="C517" s="32" t="n">
        <x:v>45.9</x:v>
      </x:c>
      <x:c r="D517" s="12" t="n">
        <x:v>3</x:v>
      </x:c>
      <x:c r="E517" s="12" t="n">
        <x:v>23</x:v>
      </x:c>
      <x:c r="F517" s="12" t="n">
        <x:v>2023</x:v>
      </x:c>
      <x:c r="G517" s="32" t="n">
        <x:v>4.2</x:v>
      </x:c>
      <x:c r="H517" s="12" t="n">
        <x:v>327</x:v>
      </x:c>
      <x:c r="I517" s="12" t="n">
        <x:v>5</x:v>
      </x:c>
      <x:c r="J517" s="12" t="n">
        <x:v>834</x:v>
      </x:c>
      <x:c r="K517" s="3" t="str">
        <x:v>Вс</x:v>
      </x:c>
      <x:c r="L517" s="8" t="n">
        <x:v>65.87</x:v>
      </x:c>
      <x:c r="M517" s="32" t="n">
        <x:v>16765.1</x:v>
      </x:c>
    </x:row>
    <x:row r="518" ht="23" customHeight="1">
      <x:c r="A518" s="11" t="n">
        <x:v>10513</x:v>
      </x:c>
      <x:c r="B518" s="31" t="n">
        <x:v>132.5</x:v>
      </x:c>
      <x:c r="C518" s="31" t="n">
        <x:v>84.2</x:v>
      </x:c>
      <x:c r="D518" s="11" t="n">
        <x:v>5</x:v>
      </x:c>
      <x:c r="E518" s="11" t="n">
        <x:v>16</x:v>
      </x:c>
      <x:c r="F518" s="11" t="n">
        <x:v>2017</x:v>
      </x:c>
      <x:c r="G518" s="31" t="n">
        <x:v>27.3</x:v>
      </x:c>
      <x:c r="H518" s="11" t="n">
        <x:v>2171</x:v>
      </x:c>
      <x:c r="I518" s="11" t="n">
        <x:v>9</x:v>
      </x:c>
      <x:c r="J518" s="11" t="n">
        <x:v>312</x:v>
      </x:c>
      <x:c r="K518" s="9" t="str">
        <x:v>Вс</x:v>
      </x:c>
      <x:c r="L518" s="10" t="n">
        <x:v>42.25</x:v>
      </x:c>
      <x:c r="M518" s="31" t="n">
        <x:v>24926.4</x:v>
      </x:c>
    </x:row>
    <x:row r="519" ht="23" customHeight="1">
      <x:c r="A519" s="12" t="n">
        <x:v>10514</x:v>
      </x:c>
      <x:c r="B519" s="32" t="n">
        <x:v>125</x:v>
      </x:c>
      <x:c r="C519" s="32" t="n">
        <x:v>84.9</x:v>
      </x:c>
      <x:c r="D519" s="12" t="n">
        <x:v>5</x:v>
      </x:c>
      <x:c r="E519" s="12" t="n">
        <x:v>22</x:v>
      </x:c>
      <x:c r="F519" s="12" t="n">
        <x:v>2008</x:v>
      </x:c>
      <x:c r="G519" s="32" t="n">
        <x:v>21.3</x:v>
      </x:c>
      <x:c r="H519" s="12" t="n">
        <x:v>1684</x:v>
      </x:c>
      <x:c r="I519" s="12" t="n">
        <x:v>1</x:v>
      </x:c>
      <x:c r="J519" s="12" t="n">
        <x:v>381</x:v>
      </x:c>
      <x:c r="K519" s="3" t="str">
        <x:v>Чт</x:v>
      </x:c>
      <x:c r="L519" s="8" t="n">
        <x:v>30.67</x:v>
      </x:c>
      <x:c r="M519" s="32" t="n">
        <x:v>24072.7</x:v>
      </x:c>
    </x:row>
    <x:row r="520" ht="23" customHeight="1">
      <x:c r="A520" s="11" t="n">
        <x:v>10515</x:v>
      </x:c>
      <x:c r="B520" s="31" t="n">
        <x:v>33.1</x:v>
      </x:c>
      <x:c r="C520" s="31" t="n">
        <x:v>19.2</x:v>
      </x:c>
      <x:c r="D520" s="11" t="n">
        <x:v>1</x:v>
      </x:c>
      <x:c r="E520" s="11" t="n">
        <x:v>17</x:v>
      </x:c>
      <x:c r="F520" s="11" t="n">
        <x:v>1997</x:v>
      </x:c>
      <x:c r="G520" s="31" t="n">
        <x:v>27.8</x:v>
      </x:c>
      <x:c r="H520" s="11" t="n">
        <x:v>2218</x:v>
      </x:c>
      <x:c r="I520" s="11" t="n">
        <x:v>9</x:v>
      </x:c>
      <x:c r="J520" s="11" t="n">
        <x:v>140</x:v>
      </x:c>
      <x:c r="K520" s="9" t="str">
        <x:v>Вс</x:v>
      </x:c>
      <x:c r="L520" s="10" t="n">
        <x:v>41.96</x:v>
      </x:c>
      <x:c r="M520" s="31" t="n">
        <x:v>5837.2</x:v>
      </x:c>
    </x:row>
    <x:row r="521" ht="23" customHeight="1">
      <x:c r="A521" s="12" t="n">
        <x:v>10516</x:v>
      </x:c>
      <x:c r="B521" s="32" t="n">
        <x:v>31</x:v>
      </x:c>
      <x:c r="C521" s="32" t="n">
        <x:v>21.3</x:v>
      </x:c>
      <x:c r="D521" s="12" t="n">
        <x:v>2</x:v>
      </x:c>
      <x:c r="E521" s="12" t="n">
        <x:v>5</x:v>
      </x:c>
      <x:c r="F521" s="12" t="n">
        <x:v>2010</x:v>
      </x:c>
      <x:c r="G521" s="32" t="n">
        <x:v>26.8</x:v>
      </x:c>
      <x:c r="H521" s="12" t="n">
        <x:v>2157</x:v>
      </x:c>
      <x:c r="I521" s="12" t="n">
        <x:v>7</x:v>
      </x:c>
      <x:c r="J521" s="12" t="n">
        <x:v>221</x:v>
      </x:c>
      <x:c r="K521" s="3" t="str">
        <x:v>Ср</x:v>
      </x:c>
      <x:c r="L521" s="8" t="n">
        <x:v>73.39</x:v>
      </x:c>
      <x:c r="M521" s="32" t="n">
        <x:v>6872.2</x:v>
      </x:c>
    </x:row>
    <x:row r="522" ht="23" customHeight="1">
      <x:c r="A522" s="11" t="n">
        <x:v>10517</x:v>
      </x:c>
      <x:c r="B522" s="31" t="n">
        <x:v>70.2</x:v>
      </x:c>
      <x:c r="C522" s="31" t="n">
        <x:v>42.7</x:v>
      </x:c>
      <x:c r="D522" s="11" t="n">
        <x:v>3</x:v>
      </x:c>
      <x:c r="E522" s="11" t="n">
        <x:v>12</x:v>
      </x:c>
      <x:c r="F522" s="11" t="n">
        <x:v>2004</x:v>
      </x:c>
      <x:c r="G522" s="31" t="n">
        <x:v>28.5</x:v>
      </x:c>
      <x:c r="H522" s="11" t="n">
        <x:v>2272</x:v>
      </x:c>
      <x:c r="I522" s="11" t="n">
        <x:v>4</x:v>
      </x:c>
      <x:c r="J522" s="11" t="n">
        <x:v>326</x:v>
      </x:c>
      <x:c r="K522" s="9" t="str">
        <x:v>Сб</x:v>
      </x:c>
      <x:c r="L522" s="10" t="n">
        <x:v>41.97</x:v>
      </x:c>
      <x:c r="M522" s="31" t="n">
        <x:v>12479.1</x:v>
      </x:c>
    </x:row>
    <x:row r="523" ht="23" customHeight="1">
      <x:c r="A523" s="12" t="n">
        <x:v>10518</x:v>
      </x:c>
      <x:c r="B523" s="32" t="n">
        <x:v>118.8</x:v>
      </x:c>
      <x:c r="C523" s="32" t="n">
        <x:v>82.2</x:v>
      </x:c>
      <x:c r="D523" s="12" t="n">
        <x:v>4</x:v>
      </x:c>
      <x:c r="E523" s="12" t="n">
        <x:v>11</x:v>
      </x:c>
      <x:c r="F523" s="12" t="n">
        <x:v>2016</x:v>
      </x:c>
      <x:c r="G523" s="32" t="n">
        <x:v>19.1</x:v>
      </x:c>
      <x:c r="H523" s="12" t="n">
        <x:v>1465</x:v>
      </x:c>
      <x:c r="I523" s="12" t="n">
        <x:v>3</x:v>
      </x:c>
      <x:c r="J523" s="12" t="n">
        <x:v>393</x:v>
      </x:c>
      <x:c r="K523" s="3" t="str">
        <x:v>Ср</x:v>
      </x:c>
      <x:c r="L523" s="8" t="n">
        <x:v>54.91</x:v>
      </x:c>
      <x:c r="M523" s="32" t="n">
        <x:v>23169.5</x:v>
      </x:c>
    </x:row>
    <x:row r="524" ht="23" customHeight="1">
      <x:c r="A524" s="11" t="n">
        <x:v>10519</x:v>
      </x:c>
      <x:c r="B524" s="31" t="n">
        <x:v>138.6</x:v>
      </x:c>
      <x:c r="C524" s="31" t="n">
        <x:v>79.3</x:v>
      </x:c>
      <x:c r="D524" s="11" t="n">
        <x:v>5</x:v>
      </x:c>
      <x:c r="E524" s="11" t="n">
        <x:v>15</x:v>
      </x:c>
      <x:c r="F524" s="11" t="n">
        <x:v>2017</x:v>
      </x:c>
      <x:c r="G524" s="31" t="n">
        <x:v>6.6</x:v>
      </x:c>
      <x:c r="H524" s="11" t="n">
        <x:v>552</x:v>
      </x:c>
      <x:c r="I524" s="11" t="n">
        <x:v>6</x:v>
      </x:c>
      <x:c r="J524" s="11" t="n">
        <x:v>699</x:v>
      </x:c>
      <x:c r="K524" s="9" t="str">
        <x:v>Ср</x:v>
      </x:c>
      <x:c r="L524" s="10" t="n">
        <x:v>40.76</x:v>
      </x:c>
      <x:c r="M524" s="31" t="n">
        <x:v>28135.4</x:v>
      </x:c>
    </x:row>
    <x:row r="525" ht="23" customHeight="1">
      <x:c r="A525" s="12" t="n">
        <x:v>10520</x:v>
      </x:c>
      <x:c r="B525" s="32" t="n">
        <x:v>44.8</x:v>
      </x:c>
      <x:c r="C525" s="32" t="n">
        <x:v>24.2</x:v>
      </x:c>
      <x:c r="D525" s="12" t="n">
        <x:v>2</x:v>
      </x:c>
      <x:c r="E525" s="12" t="n">
        <x:v>3</x:v>
      </x:c>
      <x:c r="F525" s="12" t="n">
        <x:v>1987</x:v>
      </x:c>
      <x:c r="G525" s="32" t="n">
        <x:v>24.1</x:v>
      </x:c>
      <x:c r="H525" s="12" t="n">
        <x:v>1831</x:v>
      </x:c>
      <x:c r="I525" s="12" t="n">
        <x:v>1</x:v>
      </x:c>
      <x:c r="J525" s="12" t="n">
        <x:v>366</x:v>
      </x:c>
      <x:c r="K525" s="3" t="str">
        <x:v>Вс</x:v>
      </x:c>
      <x:c r="L525" s="8" t="n">
        <x:v>61.45</x:v>
      </x:c>
      <x:c r="M525" s="32" t="n">
        <x:v>7833</x:v>
      </x:c>
    </x:row>
    <x:row r="526" ht="23" customHeight="1">
      <x:c r="A526" s="11" t="n">
        <x:v>10521</x:v>
      </x:c>
      <x:c r="B526" s="31" t="n">
        <x:v>94.5</x:v>
      </x:c>
      <x:c r="C526" s="31" t="n">
        <x:v>58.3</x:v>
      </x:c>
      <x:c r="D526" s="11" t="n">
        <x:v>4</x:v>
      </x:c>
      <x:c r="E526" s="11" t="n">
        <x:v>1</x:v>
      </x:c>
      <x:c r="F526" s="11" t="n">
        <x:v>1983</x:v>
      </x:c>
      <x:c r="G526" s="31" t="n">
        <x:v>22.5</x:v>
      </x:c>
      <x:c r="H526" s="11" t="n">
        <x:v>1697</x:v>
      </x:c>
      <x:c r="I526" s="11" t="n">
        <x:v>3</x:v>
      </x:c>
      <x:c r="J526" s="11" t="n">
        <x:v>640</x:v>
      </x:c>
      <x:c r="K526" s="9" t="str">
        <x:v>Пн</x:v>
      </x:c>
      <x:c r="L526" s="10" t="n">
        <x:v>58.05</x:v>
      </x:c>
      <x:c r="M526" s="31" t="n">
        <x:v>16140.3</x:v>
      </x:c>
    </x:row>
    <x:row r="527" ht="23" customHeight="1">
      <x:c r="A527" s="12" t="n">
        <x:v>10522</x:v>
      </x:c>
      <x:c r="B527" s="32" t="n">
        <x:v>70.7</x:v>
      </x:c>
      <x:c r="C527" s="32" t="n">
        <x:v>41.7</x:v>
      </x:c>
      <x:c r="D527" s="12" t="n">
        <x:v>4</x:v>
      </x:c>
      <x:c r="E527" s="12" t="n">
        <x:v>20</x:v>
      </x:c>
      <x:c r="F527" s="12" t="n">
        <x:v>2004</x:v>
      </x:c>
      <x:c r="G527" s="32" t="n">
        <x:v>26.5</x:v>
      </x:c>
      <x:c r="H527" s="12" t="n">
        <x:v>2157</x:v>
      </x:c>
      <x:c r="I527" s="12" t="n">
        <x:v>2</x:v>
      </x:c>
      <x:c r="J527" s="12" t="n">
        <x:v>858</x:v>
      </x:c>
      <x:c r="K527" s="3" t="str">
        <x:v>Вс</x:v>
      </x:c>
      <x:c r="L527" s="8" t="n">
        <x:v>27.63</x:v>
      </x:c>
      <x:c r="M527" s="32" t="n">
        <x:v>13020.1</x:v>
      </x:c>
    </x:row>
    <x:row r="528" ht="23" customHeight="1">
      <x:c r="A528" s="11" t="n">
        <x:v>10523</x:v>
      </x:c>
      <x:c r="B528" s="31" t="n">
        <x:v>136.6</x:v>
      </x:c>
      <x:c r="C528" s="31" t="n">
        <x:v>87.4</x:v>
      </x:c>
      <x:c r="D528" s="11" t="n">
        <x:v>5</x:v>
      </x:c>
      <x:c r="E528" s="11" t="n">
        <x:v>16</x:v>
      </x:c>
      <x:c r="F528" s="11" t="n">
        <x:v>2013</x:v>
      </x:c>
      <x:c r="G528" s="31" t="n">
        <x:v>7.6</x:v>
      </x:c>
      <x:c r="H528" s="11" t="n">
        <x:v>633</x:v>
      </x:c>
      <x:c r="I528" s="11" t="n">
        <x:v>9</x:v>
      </x:c>
      <x:c r="J528" s="11" t="n">
        <x:v>927</x:v>
      </x:c>
      <x:c r="K528" s="9" t="str">
        <x:v>Пн</x:v>
      </x:c>
      <x:c r="L528" s="10" t="n">
        <x:v>54.02</x:v>
      </x:c>
      <x:c r="M528" s="31" t="n">
        <x:v>27100.8</x:v>
      </x:c>
    </x:row>
    <x:row r="529" ht="23" customHeight="1">
      <x:c r="A529" s="12" t="n">
        <x:v>10524</x:v>
      </x:c>
      <x:c r="B529" s="32" t="n">
        <x:v>122.3</x:v>
      </x:c>
      <x:c r="C529" s="32" t="n">
        <x:v>78.8</x:v>
      </x:c>
      <x:c r="D529" s="12" t="n">
        <x:v>5</x:v>
      </x:c>
      <x:c r="E529" s="12" t="n">
        <x:v>2</x:v>
      </x:c>
      <x:c r="F529" s="12" t="n">
        <x:v>2010</x:v>
      </x:c>
      <x:c r="G529" s="32" t="n">
        <x:v>8.4</x:v>
      </x:c>
      <x:c r="H529" s="12" t="n">
        <x:v>669</x:v>
      </x:c>
      <x:c r="I529" s="12" t="n">
        <x:v>3</x:v>
      </x:c>
      <x:c r="J529" s="12" t="n">
        <x:v>550</x:v>
      </x:c>
      <x:c r="K529" s="3" t="str">
        <x:v>Пн</x:v>
      </x:c>
      <x:c r="L529" s="8" t="n">
        <x:v>24.76</x:v>
      </x:c>
      <x:c r="M529" s="32" t="n">
        <x:v>24828.6</x:v>
      </x:c>
    </x:row>
    <x:row r="530" ht="23" customHeight="1">
      <x:c r="A530" s="11" t="n">
        <x:v>10525</x:v>
      </x:c>
      <x:c r="B530" s="31" t="n">
        <x:v>121.9</x:v>
      </x:c>
      <x:c r="C530" s="31" t="n">
        <x:v>77.9</x:v>
      </x:c>
      <x:c r="D530" s="11" t="n">
        <x:v>5</x:v>
      </x:c>
      <x:c r="E530" s="11" t="n">
        <x:v>2</x:v>
      </x:c>
      <x:c r="F530" s="11" t="n">
        <x:v>1976</x:v>
      </x:c>
      <x:c r="G530" s="31" t="n">
        <x:v>31.4</x:v>
      </x:c>
      <x:c r="H530" s="11" t="n">
        <x:v>2442</x:v>
      </x:c>
      <x:c r="I530" s="11" t="n">
        <x:v>2</x:v>
      </x:c>
      <x:c r="J530" s="11" t="n">
        <x:v>548</x:v>
      </x:c>
      <x:c r="K530" s="9" t="str">
        <x:v>Пн</x:v>
      </x:c>
      <x:c r="L530" s="10" t="n">
        <x:v>41.69</x:v>
      </x:c>
      <x:c r="M530" s="31" t="n">
        <x:v>19397.8</x:v>
      </x:c>
    </x:row>
    <x:row r="531" ht="23" customHeight="1">
      <x:c r="A531" s="12" t="n">
        <x:v>10526</x:v>
      </x:c>
      <x:c r="B531" s="32" t="n">
        <x:v>80.5</x:v>
      </x:c>
      <x:c r="C531" s="32" t="n">
        <x:v>45.2</x:v>
      </x:c>
      <x:c r="D531" s="12" t="n">
        <x:v>3</x:v>
      </x:c>
      <x:c r="E531" s="12" t="n">
        <x:v>3</x:v>
      </x:c>
      <x:c r="F531" s="12" t="n">
        <x:v>2010</x:v>
      </x:c>
      <x:c r="G531" s="32" t="n">
        <x:v>26.7</x:v>
      </x:c>
      <x:c r="H531" s="12" t="n">
        <x:v>2101</x:v>
      </x:c>
      <x:c r="I531" s="12" t="n">
        <x:v>4</x:v>
      </x:c>
      <x:c r="J531" s="12" t="n">
        <x:v>855</x:v>
      </x:c>
      <x:c r="K531" s="3" t="str">
        <x:v>Пт</x:v>
      </x:c>
      <x:c r="L531" s="8" t="n">
        <x:v>49.83</x:v>
      </x:c>
      <x:c r="M531" s="32" t="n">
        <x:v>14956.1</x:v>
      </x:c>
    </x:row>
    <x:row r="532" ht="23" customHeight="1">
      <x:c r="A532" s="11" t="n">
        <x:v>10527</x:v>
      </x:c>
      <x:c r="B532" s="31" t="n">
        <x:v>74.5</x:v>
      </x:c>
      <x:c r="C532" s="31" t="n">
        <x:v>47.1</x:v>
      </x:c>
      <x:c r="D532" s="11" t="n">
        <x:v>2</x:v>
      </x:c>
      <x:c r="E532" s="11" t="n">
        <x:v>8</x:v>
      </x:c>
      <x:c r="F532" s="11" t="n">
        <x:v>1982</x:v>
      </x:c>
      <x:c r="G532" s="31" t="n">
        <x:v>32</x:v>
      </x:c>
      <x:c r="H532" s="11" t="n">
        <x:v>2547</x:v>
      </x:c>
      <x:c r="I532" s="11" t="n">
        <x:v>2</x:v>
      </x:c>
      <x:c r="J532" s="11" t="n">
        <x:v>160</x:v>
      </x:c>
      <x:c r="K532" s="9" t="str">
        <x:v>Вт</x:v>
      </x:c>
      <x:c r="L532" s="10" t="n">
        <x:v>77.7</x:v>
      </x:c>
      <x:c r="M532" s="31" t="n">
        <x:v>12157.9</x:v>
      </x:c>
    </x:row>
    <x:row r="533" ht="23" customHeight="1">
      <x:c r="A533" s="12" t="n">
        <x:v>10528</x:v>
      </x:c>
      <x:c r="B533" s="32" t="n">
        <x:v>58.6</x:v>
      </x:c>
      <x:c r="C533" s="32" t="n">
        <x:v>36</x:v>
      </x:c>
      <x:c r="D533" s="12" t="n">
        <x:v>2</x:v>
      </x:c>
      <x:c r="E533" s="12" t="n">
        <x:v>24</x:v>
      </x:c>
      <x:c r="F533" s="12" t="n">
        <x:v>1987</x:v>
      </x:c>
      <x:c r="G533" s="32" t="n">
        <x:v>27</x:v>
      </x:c>
      <x:c r="H533" s="12" t="n">
        <x:v>2080</x:v>
      </x:c>
      <x:c r="I533" s="12" t="n">
        <x:v>1</x:v>
      </x:c>
      <x:c r="J533" s="12" t="n">
        <x:v>601</x:v>
      </x:c>
      <x:c r="K533" s="3" t="str">
        <x:v>Вс</x:v>
      </x:c>
      <x:c r="L533" s="8" t="n">
        <x:v>54.77</x:v>
      </x:c>
      <x:c r="M533" s="32" t="n">
        <x:v>10229.6</x:v>
      </x:c>
    </x:row>
    <x:row r="534" ht="23" customHeight="1">
      <x:c r="A534" s="11" t="n">
        <x:v>10529</x:v>
      </x:c>
      <x:c r="B534" s="31" t="n">
        <x:v>34.3</x:v>
      </x:c>
      <x:c r="C534" s="31" t="n">
        <x:v>18.2</x:v>
      </x:c>
      <x:c r="D534" s="11" t="n">
        <x:v>2</x:v>
      </x:c>
      <x:c r="E534" s="11" t="n">
        <x:v>15</x:v>
      </x:c>
      <x:c r="F534" s="11" t="n">
        <x:v>2006</x:v>
      </x:c>
      <x:c r="G534" s="31" t="n">
        <x:v>21.7</x:v>
      </x:c>
      <x:c r="H534" s="11" t="n">
        <x:v>1699</x:v>
      </x:c>
      <x:c r="I534" s="11" t="n">
        <x:v>6</x:v>
      </x:c>
      <x:c r="J534" s="11" t="n">
        <x:v>246</x:v>
      </x:c>
      <x:c r="K534" s="9" t="str">
        <x:v>Пт</x:v>
      </x:c>
      <x:c r="L534" s="10" t="n">
        <x:v>38.49</x:v>
      </x:c>
      <x:c r="M534" s="31" t="n">
        <x:v>7324.6</x:v>
      </x:c>
    </x:row>
    <x:row r="535" ht="23" customHeight="1">
      <x:c r="A535" s="12" t="n">
        <x:v>10530</x:v>
      </x:c>
      <x:c r="B535" s="32" t="n">
        <x:v>124.8</x:v>
      </x:c>
      <x:c r="C535" s="32" t="n">
        <x:v>78.1</x:v>
      </x:c>
      <x:c r="D535" s="12" t="n">
        <x:v>5</x:v>
      </x:c>
      <x:c r="E535" s="12" t="n">
        <x:v>7</x:v>
      </x:c>
      <x:c r="F535" s="12" t="n">
        <x:v>1982</x:v>
      </x:c>
      <x:c r="G535" s="32" t="n">
        <x:v>23.6</x:v>
      </x:c>
      <x:c r="H535" s="12" t="n">
        <x:v>1921</x:v>
      </x:c>
      <x:c r="I535" s="12" t="n">
        <x:v>8</x:v>
      </x:c>
      <x:c r="J535" s="12" t="n">
        <x:v>785</x:v>
      </x:c>
      <x:c r="K535" s="3" t="str">
        <x:v>Ср</x:v>
      </x:c>
      <x:c r="L535" s="8" t="n">
        <x:v>45.24</x:v>
      </x:c>
      <x:c r="M535" s="32" t="n">
        <x:v>21534</x:v>
      </x:c>
    </x:row>
    <x:row r="536" ht="23" customHeight="1">
      <x:c r="A536" s="11" t="n">
        <x:v>10531</x:v>
      </x:c>
      <x:c r="B536" s="31" t="n">
        <x:v>119</x:v>
      </x:c>
      <x:c r="C536" s="31" t="n">
        <x:v>70.8</x:v>
      </x:c>
      <x:c r="D536" s="11" t="n">
        <x:v>4</x:v>
      </x:c>
      <x:c r="E536" s="11" t="n">
        <x:v>6</x:v>
      </x:c>
      <x:c r="F536" s="11" t="n">
        <x:v>2005</x:v>
      </x:c>
      <x:c r="G536" s="31" t="n">
        <x:v>31.3</x:v>
      </x:c>
      <x:c r="H536" s="11" t="n">
        <x:v>2575</x:v>
      </x:c>
      <x:c r="I536" s="11" t="n">
        <x:v>2</x:v>
      </x:c>
      <x:c r="J536" s="11" t="n">
        <x:v>889</x:v>
      </x:c>
      <x:c r="K536" s="9" t="str">
        <x:v>Пт</x:v>
      </x:c>
      <x:c r="L536" s="10" t="n">
        <x:v>63.86</x:v>
      </x:c>
      <x:c r="M536" s="31" t="n">
        <x:v>21605.9</x:v>
      </x:c>
    </x:row>
    <x:row r="537" ht="23" customHeight="1">
      <x:c r="A537" s="12" t="n">
        <x:v>10532</x:v>
      </x:c>
      <x:c r="B537" s="32" t="n">
        <x:v>140</x:v>
      </x:c>
      <x:c r="C537" s="32" t="n">
        <x:v>80.8</x:v>
      </x:c>
      <x:c r="D537" s="12" t="n">
        <x:v>5</x:v>
      </x:c>
      <x:c r="E537" s="12" t="n">
        <x:v>9</x:v>
      </x:c>
      <x:c r="F537" s="12" t="n">
        <x:v>2000</x:v>
      </x:c>
      <x:c r="G537" s="32" t="n">
        <x:v>21.1</x:v>
      </x:c>
      <x:c r="H537" s="12" t="n">
        <x:v>1667</x:v>
      </x:c>
      <x:c r="I537" s="12" t="n">
        <x:v>9</x:v>
      </x:c>
      <x:c r="J537" s="12" t="n">
        <x:v>433</x:v>
      </x:c>
      <x:c r="K537" s="3" t="str">
        <x:v>Чт</x:v>
      </x:c>
      <x:c r="L537" s="8" t="n">
        <x:v>38.7</x:v>
      </x:c>
      <x:c r="M537" s="32" t="n">
        <x:v>26129.6</x:v>
      </x:c>
    </x:row>
    <x:row r="538" ht="23" customHeight="1">
      <x:c r="A538" s="11" t="n">
        <x:v>10533</x:v>
      </x:c>
      <x:c r="B538" s="31" t="n">
        <x:v>139.6</x:v>
      </x:c>
      <x:c r="C538" s="31" t="n">
        <x:v>78.8</x:v>
      </x:c>
      <x:c r="D538" s="11" t="n">
        <x:v>5</x:v>
      </x:c>
      <x:c r="E538" s="11" t="n">
        <x:v>20</x:v>
      </x:c>
      <x:c r="F538" s="11" t="n">
        <x:v>1971</x:v>
      </x:c>
      <x:c r="G538" s="31" t="n">
        <x:v>22.9</x:v>
      </x:c>
      <x:c r="H538" s="11" t="n">
        <x:v>1870</x:v>
      </x:c>
      <x:c r="I538" s="11" t="n">
        <x:v>3</x:v>
      </x:c>
      <x:c r="J538" s="11" t="n">
        <x:v>980</x:v>
      </x:c>
      <x:c r="K538" s="9" t="str">
        <x:v>Сб</x:v>
      </x:c>
      <x:c r="L538" s="10" t="n">
        <x:v>66.45</x:v>
      </x:c>
      <x:c r="M538" s="31" t="n">
        <x:v>24239.2</x:v>
      </x:c>
    </x:row>
    <x:row r="539" ht="23" customHeight="1">
      <x:c r="A539" s="12" t="n">
        <x:v>10534</x:v>
      </x:c>
      <x:c r="B539" s="32" t="n">
        <x:v>90.2</x:v>
      </x:c>
      <x:c r="C539" s="32" t="n">
        <x:v>58.8</x:v>
      </x:c>
      <x:c r="D539" s="12" t="n">
        <x:v>3</x:v>
      </x:c>
      <x:c r="E539" s="12" t="n">
        <x:v>1</x:v>
      </x:c>
      <x:c r="F539" s="12" t="n">
        <x:v>1985</x:v>
      </x:c>
      <x:c r="G539" s="32" t="n">
        <x:v>7.2</x:v>
      </x:c>
      <x:c r="H539" s="12" t="n">
        <x:v>480</x:v>
      </x:c>
      <x:c r="I539" s="12" t="n">
        <x:v>8</x:v>
      </x:c>
      <x:c r="J539" s="12" t="n">
        <x:v>990</x:v>
      </x:c>
      <x:c r="K539" s="3" t="str">
        <x:v>Пн</x:v>
      </x:c>
      <x:c r="L539" s="8" t="n">
        <x:v>42.15</x:v>
      </x:c>
      <x:c r="M539" s="32" t="n">
        <x:v>17232.5</x:v>
      </x:c>
    </x:row>
    <x:row r="540" ht="23" customHeight="1">
      <x:c r="A540" s="11" t="n">
        <x:v>10535</x:v>
      </x:c>
      <x:c r="B540" s="31" t="n">
        <x:v>114.1</x:v>
      </x:c>
      <x:c r="C540" s="31" t="n">
        <x:v>77</x:v>
      </x:c>
      <x:c r="D540" s="11" t="n">
        <x:v>5</x:v>
      </x:c>
      <x:c r="E540" s="11" t="n">
        <x:v>8</x:v>
      </x:c>
      <x:c r="F540" s="11" t="n">
        <x:v>1978</x:v>
      </x:c>
      <x:c r="G540" s="31" t="n">
        <x:v>17.6</x:v>
      </x:c>
      <x:c r="H540" s="11" t="n">
        <x:v>1441</x:v>
      </x:c>
      <x:c r="I540" s="11" t="n">
        <x:v>8</x:v>
      </x:c>
      <x:c r="J540" s="11" t="n">
        <x:v>241</x:v>
      </x:c>
      <x:c r="K540" s="9" t="str">
        <x:v>Вс</x:v>
      </x:c>
      <x:c r="L540" s="10" t="n">
        <x:v>36.27</x:v>
      </x:c>
      <x:c r="M540" s="31" t="n">
        <x:v>20093.6</x:v>
      </x:c>
    </x:row>
    <x:row r="541" ht="23" customHeight="1">
      <x:c r="A541" s="12" t="n">
        <x:v>10536</x:v>
      </x:c>
      <x:c r="B541" s="32" t="n">
        <x:v>133.8</x:v>
      </x:c>
      <x:c r="C541" s="32" t="n">
        <x:v>86.9</x:v>
      </x:c>
      <x:c r="D541" s="12" t="n">
        <x:v>5</x:v>
      </x:c>
      <x:c r="E541" s="12" t="n">
        <x:v>23</x:v>
      </x:c>
      <x:c r="F541" s="12" t="n">
        <x:v>1978</x:v>
      </x:c>
      <x:c r="G541" s="32" t="n">
        <x:v>25.6</x:v>
      </x:c>
      <x:c r="H541" s="12" t="n">
        <x:v>2008</x:v>
      </x:c>
      <x:c r="I541" s="12" t="n">
        <x:v>3</x:v>
      </x:c>
      <x:c r="J541" s="12" t="n">
        <x:v>143</x:v>
      </x:c>
      <x:c r="K541" s="3" t="str">
        <x:v>Чт</x:v>
      </x:c>
      <x:c r="L541" s="8" t="n">
        <x:v>42.63</x:v>
      </x:c>
      <x:c r="M541" s="32" t="n">
        <x:v>23343.6</x:v>
      </x:c>
    </x:row>
    <x:row r="542" ht="23" customHeight="1">
      <x:c r="A542" s="11" t="n">
        <x:v>10537</x:v>
      </x:c>
      <x:c r="B542" s="31" t="n">
        <x:v>123.2</x:v>
      </x:c>
      <x:c r="C542" s="31" t="n">
        <x:v>69.6</x:v>
      </x:c>
      <x:c r="D542" s="11" t="n">
        <x:v>5</x:v>
      </x:c>
      <x:c r="E542" s="11" t="n">
        <x:v>23</x:v>
      </x:c>
      <x:c r="F542" s="11" t="n">
        <x:v>2007</x:v>
      </x:c>
      <x:c r="G542" s="31" t="n">
        <x:v>10.9</x:v>
      </x:c>
      <x:c r="H542" s="11" t="n">
        <x:v>887</x:v>
      </x:c>
      <x:c r="I542" s="11" t="n">
        <x:v>3</x:v>
      </x:c>
      <x:c r="J542" s="11" t="n">
        <x:v>243</x:v>
      </x:c>
      <x:c r="K542" s="9" t="str">
        <x:v>Вс</x:v>
      </x:c>
      <x:c r="L542" s="10" t="n">
        <x:v>25.76</x:v>
      </x:c>
      <x:c r="M542" s="31" t="n">
        <x:v>24981</x:v>
      </x:c>
    </x:row>
    <x:row r="543" ht="23" customHeight="1">
      <x:c r="A543" s="12" t="n">
        <x:v>10538</x:v>
      </x:c>
      <x:c r="B543" s="32" t="n">
        <x:v>55.7</x:v>
      </x:c>
      <x:c r="C543" s="32" t="n">
        <x:v>33.1</x:v>
      </x:c>
      <x:c r="D543" s="12" t="n">
        <x:v>3</x:v>
      </x:c>
      <x:c r="E543" s="12" t="n">
        <x:v>3</x:v>
      </x:c>
      <x:c r="F543" s="12" t="n">
        <x:v>1980</x:v>
      </x:c>
      <x:c r="G543" s="32" t="n">
        <x:v>8.7</x:v>
      </x:c>
      <x:c r="H543" s="12" t="n">
        <x:v>684</x:v>
      </x:c>
      <x:c r="I543" s="12" t="n">
        <x:v>6</x:v>
      </x:c>
      <x:c r="J543" s="12" t="n">
        <x:v>964</x:v>
      </x:c>
      <x:c r="K543" s="3" t="str">
        <x:v>Сб</x:v>
      </x:c>
      <x:c r="L543" s="8" t="n">
        <x:v>17.41</x:v>
      </x:c>
      <x:c r="M543" s="32" t="n">
        <x:v>10884.3</x:v>
      </x:c>
    </x:row>
    <x:row r="544" ht="23" customHeight="1">
      <x:c r="A544" s="11" t="n">
        <x:v>10539</x:v>
      </x:c>
      <x:c r="B544" s="31" t="n">
        <x:v>78.5</x:v>
      </x:c>
      <x:c r="C544" s="31" t="n">
        <x:v>51</x:v>
      </x:c>
      <x:c r="D544" s="11" t="n">
        <x:v>4</x:v>
      </x:c>
      <x:c r="E544" s="11" t="n">
        <x:v>4</x:v>
      </x:c>
      <x:c r="F544" s="11" t="n">
        <x:v>2023</x:v>
      </x:c>
      <x:c r="G544" s="31" t="n">
        <x:v>12.4</x:v>
      </x:c>
      <x:c r="H544" s="11" t="n">
        <x:v>1058</x:v>
      </x:c>
      <x:c r="I544" s="11" t="n">
        <x:v>1</x:v>
      </x:c>
      <x:c r="J544" s="11" t="n">
        <x:v>432</x:v>
      </x:c>
      <x:c r="K544" s="9" t="str">
        <x:v>Чт</x:v>
      </x:c>
      <x:c r="L544" s="10" t="n">
        <x:v>48.76</x:v>
      </x:c>
      <x:c r="M544" s="31" t="n">
        <x:v>16146.8</x:v>
      </x:c>
    </x:row>
    <x:row r="545" ht="23" customHeight="1">
      <x:c r="A545" s="12" t="n">
        <x:v>10540</x:v>
      </x:c>
      <x:c r="B545" s="32" t="n">
        <x:v>42.5</x:v>
      </x:c>
      <x:c r="C545" s="32" t="n">
        <x:v>29.4</x:v>
      </x:c>
      <x:c r="D545" s="12" t="n">
        <x:v>2</x:v>
      </x:c>
      <x:c r="E545" s="12" t="n">
        <x:v>25</x:v>
      </x:c>
      <x:c r="F545" s="12" t="n">
        <x:v>1991</x:v>
      </x:c>
      <x:c r="G545" s="32" t="n">
        <x:v>10</x:v>
      </x:c>
      <x:c r="H545" s="12" t="n">
        <x:v>756</x:v>
      </x:c>
      <x:c r="I545" s="12" t="n">
        <x:v>4</x:v>
      </x:c>
      <x:c r="J545" s="12" t="n">
        <x:v>596</x:v>
      </x:c>
      <x:c r="K545" s="3" t="str">
        <x:v>Вс</x:v>
      </x:c>
      <x:c r="L545" s="8" t="n">
        <x:v>48.99</x:v>
      </x:c>
      <x:c r="M545" s="32" t="n">
        <x:v>9253.5</x:v>
      </x:c>
    </x:row>
    <x:row r="546" ht="23" customHeight="1">
      <x:c r="A546" s="11" t="n">
        <x:v>10541</x:v>
      </x:c>
      <x:c r="B546" s="31" t="n">
        <x:v>134.9</x:v>
      </x:c>
      <x:c r="C546" s="31" t="n">
        <x:v>75.8</x:v>
      </x:c>
      <x:c r="D546" s="11" t="n">
        <x:v>4</x:v>
      </x:c>
      <x:c r="E546" s="11" t="n">
        <x:v>15</x:v>
      </x:c>
      <x:c r="F546" s="11" t="n">
        <x:v>2002</x:v>
      </x:c>
      <x:c r="G546" s="31" t="n">
        <x:v>9.1</x:v>
      </x:c>
      <x:c r="H546" s="11" t="n">
        <x:v>759</x:v>
      </x:c>
      <x:c r="I546" s="11" t="n">
        <x:v>1</x:v>
      </x:c>
      <x:c r="J546" s="11" t="n">
        <x:v>495</x:v>
      </x:c>
      <x:c r="K546" s="9" t="str">
        <x:v>Ср</x:v>
      </x:c>
      <x:c r="L546" s="10" t="n">
        <x:v>53.85</x:v>
      </x:c>
      <x:c r="M546" s="31" t="n">
        <x:v>26322.1</x:v>
      </x:c>
    </x:row>
    <x:row r="547" ht="23" customHeight="1">
      <x:c r="A547" s="12" t="n">
        <x:v>10542</x:v>
      </x:c>
      <x:c r="B547" s="32" t="n">
        <x:v>95.9</x:v>
      </x:c>
      <x:c r="C547" s="32" t="n">
        <x:v>52.6</x:v>
      </x:c>
      <x:c r="D547" s="12" t="n">
        <x:v>5</x:v>
      </x:c>
      <x:c r="E547" s="12" t="n">
        <x:v>6</x:v>
      </x:c>
      <x:c r="F547" s="12" t="n">
        <x:v>2005</x:v>
      </x:c>
      <x:c r="G547" s="32" t="n">
        <x:v>16</x:v>
      </x:c>
      <x:c r="H547" s="12" t="n">
        <x:v>1266</x:v>
      </x:c>
      <x:c r="I547" s="12" t="n">
        <x:v>3</x:v>
      </x:c>
      <x:c r="J547" s="12" t="n">
        <x:v>154</x:v>
      </x:c>
      <x:c r="K547" s="3" t="str">
        <x:v>Пн</x:v>
      </x:c>
      <x:c r="L547" s="8" t="n">
        <x:v>48.69</x:v>
      </x:c>
      <x:c r="M547" s="32" t="n">
        <x:v>18134.5</x:v>
      </x:c>
    </x:row>
    <x:row r="548" ht="23" customHeight="1">
      <x:c r="A548" s="11" t="n">
        <x:v>10543</x:v>
      </x:c>
      <x:c r="B548" s="31" t="n">
        <x:v>53.6</x:v>
      </x:c>
      <x:c r="C548" s="31" t="n">
        <x:v>38.5</x:v>
      </x:c>
      <x:c r="D548" s="11" t="n">
        <x:v>1</x:v>
      </x:c>
      <x:c r="E548" s="11" t="n">
        <x:v>15</x:v>
      </x:c>
      <x:c r="F548" s="11" t="n">
        <x:v>2014</x:v>
      </x:c>
      <x:c r="G548" s="31" t="n">
        <x:v>32</x:v>
      </x:c>
      <x:c r="H548" s="11" t="n">
        <x:v>2552</x:v>
      </x:c>
      <x:c r="I548" s="11" t="n">
        <x:v>9</x:v>
      </x:c>
      <x:c r="J548" s="11" t="n">
        <x:v>406</x:v>
      </x:c>
      <x:c r="K548" s="9" t="str">
        <x:v>Чт</x:v>
      </x:c>
      <x:c r="L548" s="10" t="n">
        <x:v>84.94</x:v>
      </x:c>
      <x:c r="M548" s="31" t="n">
        <x:v>10104.8</x:v>
      </x:c>
    </x:row>
    <x:row r="549" ht="23" customHeight="1">
      <x:c r="A549" s="12" t="n">
        <x:v>10544</x:v>
      </x:c>
      <x:c r="B549" s="32" t="n">
        <x:v>103.2</x:v>
      </x:c>
      <x:c r="C549" s="32" t="n">
        <x:v>60.1</x:v>
      </x:c>
      <x:c r="D549" s="12" t="n">
        <x:v>3</x:v>
      </x:c>
      <x:c r="E549" s="12" t="n">
        <x:v>21</x:v>
      </x:c>
      <x:c r="F549" s="12" t="n">
        <x:v>1992</x:v>
      </x:c>
      <x:c r="G549" s="32" t="n">
        <x:v>18.7</x:v>
      </x:c>
      <x:c r="H549" s="12" t="n">
        <x:v>1487</x:v>
      </x:c>
      <x:c r="I549" s="12" t="n">
        <x:v>5</x:v>
      </x:c>
      <x:c r="J549" s="12" t="n">
        <x:v>969</x:v>
      </x:c>
      <x:c r="K549" s="3" t="str">
        <x:v>Ср</x:v>
      </x:c>
      <x:c r="L549" s="8" t="n">
        <x:v>52.53</x:v>
      </x:c>
      <x:c r="M549" s="32" t="n">
        <x:v>19406.3</x:v>
      </x:c>
    </x:row>
    <x:row r="550" ht="23" customHeight="1">
      <x:c r="A550" s="11" t="n">
        <x:v>10545</x:v>
      </x:c>
      <x:c r="B550" s="31" t="n">
        <x:v>97.2</x:v>
      </x:c>
      <x:c r="C550" s="31" t="n">
        <x:v>54.4</x:v>
      </x:c>
      <x:c r="D550" s="11" t="n">
        <x:v>4</x:v>
      </x:c>
      <x:c r="E550" s="11" t="n">
        <x:v>3</x:v>
      </x:c>
      <x:c r="F550" s="11" t="n">
        <x:v>2014</x:v>
      </x:c>
      <x:c r="G550" s="31" t="n">
        <x:v>8.2</x:v>
      </x:c>
      <x:c r="H550" s="11" t="n">
        <x:v>614</x:v>
      </x:c>
      <x:c r="I550" s="11" t="n">
        <x:v>5</x:v>
      </x:c>
      <x:c r="J550" s="11" t="n">
        <x:v>522</x:v>
      </x:c>
      <x:c r="K550" s="9" t="str">
        <x:v>Пн</x:v>
      </x:c>
      <x:c r="L550" s="10" t="n">
        <x:v>29.35</x:v>
      </x:c>
      <x:c r="M550" s="31" t="n">
        <x:v>19482.2</x:v>
      </x:c>
    </x:row>
    <x:row r="551" ht="23" customHeight="1">
      <x:c r="A551" s="12" t="n">
        <x:v>10546</x:v>
      </x:c>
      <x:c r="B551" s="32" t="n">
        <x:v>68.1</x:v>
      </x:c>
      <x:c r="C551" s="32" t="n">
        <x:v>38.8</x:v>
      </x:c>
      <x:c r="D551" s="12" t="n">
        <x:v>4</x:v>
      </x:c>
      <x:c r="E551" s="12" t="n">
        <x:v>25</x:v>
      </x:c>
      <x:c r="F551" s="12" t="n">
        <x:v>2014</x:v>
      </x:c>
      <x:c r="G551" s="32" t="n">
        <x:v>4.5</x:v>
      </x:c>
      <x:c r="H551" s="12" t="n">
        <x:v>359</x:v>
      </x:c>
      <x:c r="I551" s="12" t="n">
        <x:v>4</x:v>
      </x:c>
      <x:c r="J551" s="12" t="n">
        <x:v>516</x:v>
      </x:c>
      <x:c r="K551" s="3" t="str">
        <x:v>Вт</x:v>
      </x:c>
      <x:c r="L551" s="8" t="n">
        <x:v>33.2</x:v>
      </x:c>
      <x:c r="M551" s="32" t="n">
        <x:v>14676</x:v>
      </x:c>
    </x:row>
    <x:row r="552" ht="23" customHeight="1">
      <x:c r="A552" s="11" t="n">
        <x:v>10547</x:v>
      </x:c>
      <x:c r="B552" s="31" t="n">
        <x:v>40.7</x:v>
      </x:c>
      <x:c r="C552" s="31" t="n">
        <x:v>24.7</x:v>
      </x:c>
      <x:c r="D552" s="11" t="n">
        <x:v>2</x:v>
      </x:c>
      <x:c r="E552" s="11" t="n">
        <x:v>21</x:v>
      </x:c>
      <x:c r="F552" s="11" t="n">
        <x:v>2003</x:v>
      </x:c>
      <x:c r="G552" s="31" t="n">
        <x:v>25</x:v>
      </x:c>
      <x:c r="H552" s="11" t="n">
        <x:v>1997</x:v>
      </x:c>
      <x:c r="I552" s="11" t="n">
        <x:v>3</x:v>
      </x:c>
      <x:c r="J552" s="11" t="n">
        <x:v>772</x:v>
      </x:c>
      <x:c r="K552" s="9" t="str">
        <x:v>Ср</x:v>
      </x:c>
      <x:c r="L552" s="10" t="n">
        <x:v>50</x:v>
      </x:c>
      <x:c r="M552" s="31" t="n">
        <x:v>7670.4</x:v>
      </x:c>
    </x:row>
    <x:row r="553" ht="23" customHeight="1">
      <x:c r="A553" s="12" t="n">
        <x:v>10548</x:v>
      </x:c>
      <x:c r="B553" s="32" t="n">
        <x:v>103.2</x:v>
      </x:c>
      <x:c r="C553" s="32" t="n">
        <x:v>69.5</x:v>
      </x:c>
      <x:c r="D553" s="12" t="n">
        <x:v>4</x:v>
      </x:c>
      <x:c r="E553" s="12" t="n">
        <x:v>21</x:v>
      </x:c>
      <x:c r="F553" s="12" t="n">
        <x:v>1978</x:v>
      </x:c>
      <x:c r="G553" s="32" t="n">
        <x:v>14.6</x:v>
      </x:c>
      <x:c r="H553" s="12" t="n">
        <x:v>1180</x:v>
      </x:c>
      <x:c r="I553" s="12" t="n">
        <x:v>5</x:v>
      </x:c>
      <x:c r="J553" s="12" t="n">
        <x:v>896</x:v>
      </x:c>
      <x:c r="K553" s="3" t="str">
        <x:v>Пт</x:v>
      </x:c>
      <x:c r="L553" s="8" t="n">
        <x:v>43.47</x:v>
      </x:c>
      <x:c r="M553" s="32" t="n">
        <x:v>18566.6</x:v>
      </x:c>
    </x:row>
    <x:row r="554" ht="23" customHeight="1">
      <x:c r="A554" s="11" t="n">
        <x:v>10549</x:v>
      </x:c>
      <x:c r="B554" s="31" t="n">
        <x:v>86.3</x:v>
      </x:c>
      <x:c r="C554" s="31" t="n">
        <x:v>58.7</x:v>
      </x:c>
      <x:c r="D554" s="11" t="n">
        <x:v>4</x:v>
      </x:c>
      <x:c r="E554" s="11" t="n">
        <x:v>14</x:v>
      </x:c>
      <x:c r="F554" s="11" t="n">
        <x:v>1993</x:v>
      </x:c>
      <x:c r="G554" s="31" t="n">
        <x:v>29.1</x:v>
      </x:c>
      <x:c r="H554" s="11" t="n">
        <x:v>2332</x:v>
      </x:c>
      <x:c r="I554" s="11" t="n">
        <x:v>4</x:v>
      </x:c>
      <x:c r="J554" s="11" t="n">
        <x:v>424</x:v>
      </x:c>
      <x:c r="K554" s="9" t="str">
        <x:v>Вс</x:v>
      </x:c>
      <x:c r="L554" s="10" t="n">
        <x:v>31.57</x:v>
      </x:c>
      <x:c r="M554" s="31" t="n">
        <x:v>15050</x:v>
      </x:c>
    </x:row>
    <x:row r="555" ht="23" customHeight="1">
      <x:c r="A555" s="12" t="n">
        <x:v>10550</x:v>
      </x:c>
      <x:c r="B555" s="32" t="n">
        <x:v>114.5</x:v>
      </x:c>
      <x:c r="C555" s="32" t="n">
        <x:v>72.3</x:v>
      </x:c>
      <x:c r="D555" s="12" t="n">
        <x:v>5</x:v>
      </x:c>
      <x:c r="E555" s="12" t="n">
        <x:v>20</x:v>
      </x:c>
      <x:c r="F555" s="12" t="n">
        <x:v>1977</x:v>
      </x:c>
      <x:c r="G555" s="32" t="n">
        <x:v>23.8</x:v>
      </x:c>
      <x:c r="H555" s="12" t="n">
        <x:v>1944</x:v>
      </x:c>
      <x:c r="I555" s="12" t="n">
        <x:v>8</x:v>
      </x:c>
      <x:c r="J555" s="12" t="n">
        <x:v>809</x:v>
      </x:c>
      <x:c r="K555" s="3" t="str">
        <x:v>Пн</x:v>
      </x:c>
      <x:c r="L555" s="8" t="n">
        <x:v>49.12</x:v>
      </x:c>
      <x:c r="M555" s="32" t="n">
        <x:v>20011.4</x:v>
      </x:c>
    </x:row>
    <x:row r="556" ht="23" customHeight="1">
      <x:c r="A556" s="11" t="n">
        <x:v>10551</x:v>
      </x:c>
      <x:c r="B556" s="31" t="n">
        <x:v>86.3</x:v>
      </x:c>
      <x:c r="C556" s="31" t="n">
        <x:v>56.5</x:v>
      </x:c>
      <x:c r="D556" s="11" t="n">
        <x:v>4</x:v>
      </x:c>
      <x:c r="E556" s="11" t="n">
        <x:v>14</x:v>
      </x:c>
      <x:c r="F556" s="11" t="n">
        <x:v>1976</x:v>
      </x:c>
      <x:c r="G556" s="31" t="n">
        <x:v>28.3</x:v>
      </x:c>
      <x:c r="H556" s="11" t="n">
        <x:v>2310</x:v>
      </x:c>
      <x:c r="I556" s="11" t="n">
        <x:v>4</x:v>
      </x:c>
      <x:c r="J556" s="11" t="n">
        <x:v>770</x:v>
      </x:c>
      <x:c r="K556" s="9" t="str">
        <x:v>Чт</x:v>
      </x:c>
      <x:c r="L556" s="10" t="n">
        <x:v>49.34</x:v>
      </x:c>
      <x:c r="M556" s="31" t="n">
        <x:v>14834.7</x:v>
      </x:c>
    </x:row>
    <x:row r="557" ht="23" customHeight="1">
      <x:c r="A557" s="12" t="n">
        <x:v>10552</x:v>
      </x:c>
      <x:c r="B557" s="32" t="n">
        <x:v>123.4</x:v>
      </x:c>
      <x:c r="C557" s="32" t="n">
        <x:v>70.6</x:v>
      </x:c>
      <x:c r="D557" s="12" t="n">
        <x:v>5</x:v>
      </x:c>
      <x:c r="E557" s="12" t="n">
        <x:v>4</x:v>
      </x:c>
      <x:c r="F557" s="12" t="n">
        <x:v>2005</x:v>
      </x:c>
      <x:c r="G557" s="32" t="n">
        <x:v>11</x:v>
      </x:c>
      <x:c r="H557" s="12" t="n">
        <x:v>827</x:v>
      </x:c>
      <x:c r="I557" s="12" t="n">
        <x:v>8</x:v>
      </x:c>
      <x:c r="J557" s="12" t="n">
        <x:v>179</x:v>
      </x:c>
      <x:c r="K557" s="3" t="str">
        <x:v>Сб</x:v>
      </x:c>
      <x:c r="L557" s="8" t="n">
        <x:v>73.94</x:v>
      </x:c>
      <x:c r="M557" s="32" t="n">
        <x:v>23152.7</x:v>
      </x:c>
    </x:row>
    <x:row r="558" ht="23" customHeight="1">
      <x:c r="A558" s="11" t="n">
        <x:v>10553</x:v>
      </x:c>
      <x:c r="B558" s="31" t="n">
        <x:v>89.8</x:v>
      </x:c>
      <x:c r="C558" s="31" t="n">
        <x:v>58.1</x:v>
      </x:c>
      <x:c r="D558" s="11" t="n">
        <x:v>4</x:v>
      </x:c>
      <x:c r="E558" s="11" t="n">
        <x:v>12</x:v>
      </x:c>
      <x:c r="F558" s="11" t="n">
        <x:v>1987</x:v>
      </x:c>
      <x:c r="G558" s="31" t="n">
        <x:v>24.8</x:v>
      </x:c>
      <x:c r="H558" s="11" t="n">
        <x:v>2027</x:v>
      </x:c>
      <x:c r="I558" s="11" t="n">
        <x:v>6</x:v>
      </x:c>
      <x:c r="J558" s="11" t="n">
        <x:v>130</x:v>
      </x:c>
      <x:c r="K558" s="9" t="str">
        <x:v>Чт</x:v>
      </x:c>
      <x:c r="L558" s="10" t="n">
        <x:v>36.26</x:v>
      </x:c>
      <x:c r="M558" s="31" t="n">
        <x:v>16169.2</x:v>
      </x:c>
    </x:row>
    <x:row r="559" ht="23" customHeight="1">
      <x:c r="A559" s="12" t="n">
        <x:v>10554</x:v>
      </x:c>
      <x:c r="B559" s="32" t="n">
        <x:v>90.8</x:v>
      </x:c>
      <x:c r="C559" s="32" t="n">
        <x:v>53</x:v>
      </x:c>
      <x:c r="D559" s="12" t="n">
        <x:v>4</x:v>
      </x:c>
      <x:c r="E559" s="12" t="n">
        <x:v>17</x:v>
      </x:c>
      <x:c r="F559" s="12" t="n">
        <x:v>1972</x:v>
      </x:c>
      <x:c r="G559" s="32" t="n">
        <x:v>10.7</x:v>
      </x:c>
      <x:c r="H559" s="12" t="n">
        <x:v>797</x:v>
      </x:c>
      <x:c r="I559" s="12" t="n">
        <x:v>5</x:v>
      </x:c>
      <x:c r="J559" s="12" t="n">
        <x:v>211</x:v>
      </x:c>
      <x:c r="K559" s="3" t="str">
        <x:v>Пт</x:v>
      </x:c>
      <x:c r="L559" s="8" t="n">
        <x:v>43.73</x:v>
      </x:c>
      <x:c r="M559" s="32" t="n">
        <x:v>16636.6</x:v>
      </x:c>
    </x:row>
    <x:row r="560" ht="23" customHeight="1">
      <x:c r="A560" s="11" t="n">
        <x:v>10555</x:v>
      </x:c>
      <x:c r="B560" s="31" t="n">
        <x:v>126.2</x:v>
      </x:c>
      <x:c r="C560" s="31" t="n">
        <x:v>79.2</x:v>
      </x:c>
      <x:c r="D560" s="11" t="n">
        <x:v>5</x:v>
      </x:c>
      <x:c r="E560" s="11" t="n">
        <x:v>7</x:v>
      </x:c>
      <x:c r="F560" s="11" t="n">
        <x:v>1997</x:v>
      </x:c>
      <x:c r="G560" s="31" t="n">
        <x:v>33</x:v>
      </x:c>
      <x:c r="H560" s="11" t="n">
        <x:v>2669</x:v>
      </x:c>
      <x:c r="I560" s="11" t="n">
        <x:v>4</x:v>
      </x:c>
      <x:c r="J560" s="11" t="n">
        <x:v>657</x:v>
      </x:c>
      <x:c r="K560" s="9" t="str">
        <x:v>Вс</x:v>
      </x:c>
      <x:c r="L560" s="10" t="n">
        <x:v>73.89</x:v>
      </x:c>
      <x:c r="M560" s="31" t="n">
        <x:v>21001.5</x:v>
      </x:c>
    </x:row>
    <x:row r="561" ht="23" customHeight="1">
      <x:c r="A561" s="12" t="n">
        <x:v>10556</x:v>
      </x:c>
      <x:c r="B561" s="32" t="n">
        <x:v>73.2</x:v>
      </x:c>
      <x:c r="C561" s="32" t="n">
        <x:v>40.3</x:v>
      </x:c>
      <x:c r="D561" s="12" t="n">
        <x:v>3</x:v>
      </x:c>
      <x:c r="E561" s="12" t="n">
        <x:v>9</x:v>
      </x:c>
      <x:c r="F561" s="12" t="n">
        <x:v>1975</x:v>
      </x:c>
      <x:c r="G561" s="32" t="n">
        <x:v>23</x:v>
      </x:c>
      <x:c r="H561" s="12" t="n">
        <x:v>1871</x:v>
      </x:c>
      <x:c r="I561" s="12" t="n">
        <x:v>4</x:v>
      </x:c>
      <x:c r="J561" s="12" t="n">
        <x:v>964</x:v>
      </x:c>
      <x:c r="K561" s="3" t="str">
        <x:v>Пт</x:v>
      </x:c>
      <x:c r="L561" s="8" t="n">
        <x:v>54.93</x:v>
      </x:c>
      <x:c r="M561" s="32" t="n">
        <x:v>12536.1</x:v>
      </x:c>
    </x:row>
    <x:row r="562" ht="23" customHeight="1">
      <x:c r="A562" s="11" t="n">
        <x:v>10557</x:v>
      </x:c>
      <x:c r="B562" s="31" t="n">
        <x:v>43</x:v>
      </x:c>
      <x:c r="C562" s="31" t="n">
        <x:v>24</x:v>
      </x:c>
      <x:c r="D562" s="11" t="n">
        <x:v>1</x:v>
      </x:c>
      <x:c r="E562" s="11" t="n">
        <x:v>3</x:v>
      </x:c>
      <x:c r="F562" s="11" t="n">
        <x:v>2013</x:v>
      </x:c>
      <x:c r="G562" s="31" t="n">
        <x:v>12.7</x:v>
      </x:c>
      <x:c r="H562" s="11" t="n">
        <x:v>920</x:v>
      </x:c>
      <x:c r="I562" s="11" t="n">
        <x:v>4</x:v>
      </x:c>
      <x:c r="J562" s="11" t="n">
        <x:v>816</x:v>
      </x:c>
      <x:c r="K562" s="9" t="str">
        <x:v>Чт</x:v>
      </x:c>
      <x:c r="L562" s="10" t="n">
        <x:v>36.17</x:v>
      </x:c>
      <x:c r="M562" s="31" t="n">
        <x:v>10405.8</x:v>
      </x:c>
    </x:row>
    <x:row r="563" ht="23" customHeight="1">
      <x:c r="A563" s="12" t="n">
        <x:v>10558</x:v>
      </x:c>
      <x:c r="B563" s="32" t="n">
        <x:v>31.2</x:v>
      </x:c>
      <x:c r="C563" s="32" t="n">
        <x:v>19</x:v>
      </x:c>
      <x:c r="D563" s="12" t="n">
        <x:v>1</x:v>
      </x:c>
      <x:c r="E563" s="12" t="n">
        <x:v>13</x:v>
      </x:c>
      <x:c r="F563" s="12" t="n">
        <x:v>2013</x:v>
      </x:c>
      <x:c r="G563" s="32" t="n">
        <x:v>10.9</x:v>
      </x:c>
      <x:c r="H563" s="12" t="n">
        <x:v>877</x:v>
      </x:c>
      <x:c r="I563" s="12" t="n">
        <x:v>9</x:v>
      </x:c>
      <x:c r="J563" s="12" t="n">
        <x:v>663</x:v>
      </x:c>
      <x:c r="K563" s="3" t="str">
        <x:v>Вс</x:v>
      </x:c>
      <x:c r="L563" s="8" t="n">
        <x:v>39.28</x:v>
      </x:c>
      <x:c r="M563" s="32" t="n">
        <x:v>8516.9</x:v>
      </x:c>
    </x:row>
    <x:row r="564" ht="23" customHeight="1">
      <x:c r="A564" s="11" t="n">
        <x:v>10559</x:v>
      </x:c>
      <x:c r="B564" s="31" t="n">
        <x:v>112.6</x:v>
      </x:c>
      <x:c r="C564" s="31" t="n">
        <x:v>68</x:v>
      </x:c>
      <x:c r="D564" s="11" t="n">
        <x:v>4</x:v>
      </x:c>
      <x:c r="E564" s="11" t="n">
        <x:v>15</x:v>
      </x:c>
      <x:c r="F564" s="11" t="n">
        <x:v>1990</x:v>
      </x:c>
      <x:c r="G564" s="31" t="n">
        <x:v>8.3</x:v>
      </x:c>
      <x:c r="H564" s="11" t="n">
        <x:v>641</x:v>
      </x:c>
      <x:c r="I564" s="11" t="n">
        <x:v>4</x:v>
      </x:c>
      <x:c r="J564" s="11" t="n">
        <x:v>749</x:v>
      </x:c>
      <x:c r="K564" s="9" t="str">
        <x:v>Сб</x:v>
      </x:c>
      <x:c r="L564" s="10" t="n">
        <x:v>31.79</x:v>
      </x:c>
      <x:c r="M564" s="31" t="n">
        <x:v>21582.2</x:v>
      </x:c>
    </x:row>
    <x:row r="565" ht="23" customHeight="1">
      <x:c r="A565" s="12" t="n">
        <x:v>10560</x:v>
      </x:c>
      <x:c r="B565" s="32" t="n">
        <x:v>97.5</x:v>
      </x:c>
      <x:c r="C565" s="32" t="n">
        <x:v>54.7</x:v>
      </x:c>
      <x:c r="D565" s="12" t="n">
        <x:v>3</x:v>
      </x:c>
      <x:c r="E565" s="12" t="n">
        <x:v>18</x:v>
      </x:c>
      <x:c r="F565" s="12" t="n">
        <x:v>1997</x:v>
      </x:c>
      <x:c r="G565" s="32" t="n">
        <x:v>24.9</x:v>
      </x:c>
      <x:c r="H565" s="12" t="n">
        <x:v>1954</x:v>
      </x:c>
      <x:c r="I565" s="12" t="n">
        <x:v>9</x:v>
      </x:c>
      <x:c r="J565" s="12" t="n">
        <x:v>571</x:v>
      </x:c>
      <x:c r="K565" s="3" t="str">
        <x:v>Пн</x:v>
      </x:c>
      <x:c r="L565" s="8" t="n">
        <x:v>51.16</x:v>
      </x:c>
      <x:c r="M565" s="32" t="n">
        <x:v>18278.6</x:v>
      </x:c>
    </x:row>
    <x:row r="566" ht="23" customHeight="1">
      <x:c r="A566" s="11" t="n">
        <x:v>10561</x:v>
      </x:c>
      <x:c r="B566" s="31" t="n">
        <x:v>106.9</x:v>
      </x:c>
      <x:c r="C566" s="31" t="n">
        <x:v>61.6</x:v>
      </x:c>
      <x:c r="D566" s="11" t="n">
        <x:v>4</x:v>
      </x:c>
      <x:c r="E566" s="11" t="n">
        <x:v>19</x:v>
      </x:c>
      <x:c r="F566" s="11" t="n">
        <x:v>2009</x:v>
      </x:c>
      <x:c r="G566" s="31" t="n">
        <x:v>9.2</x:v>
      </x:c>
      <x:c r="H566" s="11" t="n">
        <x:v>804</x:v>
      </x:c>
      <x:c r="I566" s="11" t="n">
        <x:v>6</x:v>
      </x:c>
      <x:c r="J566" s="11" t="n">
        <x:v>173</x:v>
      </x:c>
      <x:c r="K566" s="9" t="str">
        <x:v>Вс</x:v>
      </x:c>
      <x:c r="L566" s="10" t="n">
        <x:v>65.47</x:v>
      </x:c>
      <x:c r="M566" s="31" t="n">
        <x:v>21555</x:v>
      </x:c>
    </x:row>
    <x:row r="567" ht="23" customHeight="1">
      <x:c r="A567" s="12" t="n">
        <x:v>10562</x:v>
      </x:c>
      <x:c r="B567" s="32" t="n">
        <x:v>51.9</x:v>
      </x:c>
      <x:c r="C567" s="32" t="n">
        <x:v>35.2</x:v>
      </x:c>
      <x:c r="D567" s="12" t="n">
        <x:v>3</x:v>
      </x:c>
      <x:c r="E567" s="12" t="n">
        <x:v>1</x:v>
      </x:c>
      <x:c r="F567" s="12" t="n">
        <x:v>2023</x:v>
      </x:c>
      <x:c r="G567" s="32" t="n">
        <x:v>21.6</x:v>
      </x:c>
      <x:c r="H567" s="12" t="n">
        <x:v>1695</x:v>
      </x:c>
      <x:c r="I567" s="12" t="n">
        <x:v>7</x:v>
      </x:c>
      <x:c r="J567" s="12" t="n">
        <x:v>652</x:v>
      </x:c>
      <x:c r="K567" s="3" t="str">
        <x:v>Ср</x:v>
      </x:c>
      <x:c r="L567" s="8" t="n">
        <x:v>74.46</x:v>
      </x:c>
      <x:c r="M567" s="32" t="n">
        <x:v>11377</x:v>
      </x:c>
    </x:row>
    <x:row r="568" ht="23" customHeight="1">
      <x:c r="A568" s="11" t="n">
        <x:v>10563</x:v>
      </x:c>
      <x:c r="B568" s="31" t="n">
        <x:v>43.3</x:v>
      </x:c>
      <x:c r="C568" s="31" t="n">
        <x:v>27</x:v>
      </x:c>
      <x:c r="D568" s="11" t="n">
        <x:v>2</x:v>
      </x:c>
      <x:c r="E568" s="11" t="n">
        <x:v>6</x:v>
      </x:c>
      <x:c r="F568" s="11" t="n">
        <x:v>2023</x:v>
      </x:c>
      <x:c r="G568" s="31" t="n">
        <x:v>10.7</x:v>
      </x:c>
      <x:c r="H568" s="11" t="n">
        <x:v>816</x:v>
      </x:c>
      <x:c r="I568" s="11" t="n">
        <x:v>3</x:v>
      </x:c>
      <x:c r="J568" s="11" t="n">
        <x:v>578</x:v>
      </x:c>
      <x:c r="K568" s="9" t="str">
        <x:v>Вс</x:v>
      </x:c>
      <x:c r="L568" s="10" t="n">
        <x:v>27.71</x:v>
      </x:c>
      <x:c r="M568" s="31" t="n">
        <x:v>9818.3</x:v>
      </x:c>
    </x:row>
    <x:row r="569" ht="23" customHeight="1">
      <x:c r="A569" s="12" t="n">
        <x:v>10564</x:v>
      </x:c>
      <x:c r="B569" s="32" t="n">
        <x:v>29.6</x:v>
      </x:c>
      <x:c r="C569" s="32" t="n">
        <x:v>19.8</x:v>
      </x:c>
      <x:c r="D569" s="12" t="n">
        <x:v>1</x:v>
      </x:c>
      <x:c r="E569" s="12" t="n">
        <x:v>23</x:v>
      </x:c>
      <x:c r="F569" s="12" t="n">
        <x:v>1970</x:v>
      </x:c>
      <x:c r="G569" s="32" t="n">
        <x:v>23.8</x:v>
      </x:c>
      <x:c r="H569" s="12" t="n">
        <x:v>1908</x:v>
      </x:c>
      <x:c r="I569" s="12" t="n">
        <x:v>8</x:v>
      </x:c>
      <x:c r="J569" s="12" t="n">
        <x:v>688</x:v>
      </x:c>
      <x:c r="K569" s="3" t="str">
        <x:v>Пт</x:v>
      </x:c>
      <x:c r="L569" s="8" t="n">
        <x:v>63.04</x:v>
      </x:c>
      <x:c r="M569" s="32" t="n">
        <x:v>4316.6</x:v>
      </x:c>
    </x:row>
    <x:row r="570" ht="23" customHeight="1">
      <x:c r="A570" s="11" t="n">
        <x:v>10565</x:v>
      </x:c>
      <x:c r="B570" s="31" t="n">
        <x:v>67.3</x:v>
      </x:c>
      <x:c r="C570" s="31" t="n">
        <x:v>43.4</x:v>
      </x:c>
      <x:c r="D570" s="11" t="n">
        <x:v>2</x:v>
      </x:c>
      <x:c r="E570" s="11" t="n">
        <x:v>2</x:v>
      </x:c>
      <x:c r="F570" s="11" t="n">
        <x:v>2005</x:v>
      </x:c>
      <x:c r="G570" s="31" t="n">
        <x:v>28.9</x:v>
      </x:c>
      <x:c r="H570" s="11" t="n">
        <x:v>2346</x:v>
      </x:c>
      <x:c r="I570" s="11" t="n">
        <x:v>3</x:v>
      </x:c>
      <x:c r="J570" s="11" t="n">
        <x:v>486</x:v>
      </x:c>
      <x:c r="K570" s="9" t="str">
        <x:v>Пт</x:v>
      </x:c>
      <x:c r="L570" s="10" t="n">
        <x:v>52.46</x:v>
      </x:c>
      <x:c r="M570" s="31" t="n">
        <x:v>12475.1</x:v>
      </x:c>
    </x:row>
    <x:row r="571" ht="23" customHeight="1">
      <x:c r="A571" s="12" t="n">
        <x:v>10566</x:v>
      </x:c>
      <x:c r="B571" s="32" t="n">
        <x:v>94.1</x:v>
      </x:c>
      <x:c r="C571" s="32" t="n">
        <x:v>66.3</x:v>
      </x:c>
      <x:c r="D571" s="12" t="n">
        <x:v>4</x:v>
      </x:c>
      <x:c r="E571" s="12" t="n">
        <x:v>24</x:v>
      </x:c>
      <x:c r="F571" s="12" t="n">
        <x:v>1990</x:v>
      </x:c>
      <x:c r="G571" s="32" t="n">
        <x:v>27.7</x:v>
      </x:c>
      <x:c r="H571" s="12" t="n">
        <x:v>2209</x:v>
      </x:c>
      <x:c r="I571" s="12" t="n">
        <x:v>1</x:v>
      </x:c>
      <x:c r="J571" s="12" t="n">
        <x:v>798</x:v>
      </x:c>
      <x:c r="K571" s="3" t="str">
        <x:v>Пт</x:v>
      </x:c>
      <x:c r="L571" s="8" t="n">
        <x:v>46.07</x:v>
      </x:c>
      <x:c r="M571" s="32" t="n">
        <x:v>17408.7</x:v>
      </x:c>
    </x:row>
    <x:row r="572" ht="23" customHeight="1">
      <x:c r="A572" s="11" t="n">
        <x:v>10567</x:v>
      </x:c>
      <x:c r="B572" s="31" t="n">
        <x:v>71.9</x:v>
      </x:c>
      <x:c r="C572" s="31" t="n">
        <x:v>47.2</x:v>
      </x:c>
      <x:c r="D572" s="11" t="n">
        <x:v>2</x:v>
      </x:c>
      <x:c r="E572" s="11" t="n">
        <x:v>14</x:v>
      </x:c>
      <x:c r="F572" s="11" t="n">
        <x:v>2012</x:v>
      </x:c>
      <x:c r="G572" s="31" t="n">
        <x:v>27.1</x:v>
      </x:c>
      <x:c r="H572" s="11" t="n">
        <x:v>2226</x:v>
      </x:c>
      <x:c r="I572" s="11" t="n">
        <x:v>5</x:v>
      </x:c>
      <x:c r="J572" s="11" t="n">
        <x:v>981</x:v>
      </x:c>
      <x:c r="K572" s="9" t="str">
        <x:v>Сб</x:v>
      </x:c>
      <x:c r="L572" s="10" t="n">
        <x:v>43.74</x:v>
      </x:c>
      <x:c r="M572" s="31" t="n">
        <x:v>13865.8</x:v>
      </x:c>
    </x:row>
    <x:row r="573" ht="23" customHeight="1">
      <x:c r="A573" s="12" t="n">
        <x:v>10568</x:v>
      </x:c>
      <x:c r="B573" s="32" t="n">
        <x:v>77</x:v>
      </x:c>
      <x:c r="C573" s="32" t="n">
        <x:v>51.1</x:v>
      </x:c>
      <x:c r="D573" s="12" t="n">
        <x:v>3</x:v>
      </x:c>
      <x:c r="E573" s="12" t="n">
        <x:v>6</x:v>
      </x:c>
      <x:c r="F573" s="12" t="n">
        <x:v>2004</x:v>
      </x:c>
      <x:c r="G573" s="32" t="n">
        <x:v>8.2</x:v>
      </x:c>
      <x:c r="H573" s="12" t="n">
        <x:v>683</x:v>
      </x:c>
      <x:c r="I573" s="12" t="n">
        <x:v>2</x:v>
      </x:c>
      <x:c r="J573" s="12" t="n">
        <x:v>663</x:v>
      </x:c>
      <x:c r="K573" s="3" t="str">
        <x:v>Вс</x:v>
      </x:c>
      <x:c r="L573" s="8" t="n">
        <x:v>21.19</x:v>
      </x:c>
      <x:c r="M573" s="32" t="n">
        <x:v>15622.2</x:v>
      </x:c>
    </x:row>
    <x:row r="574" ht="23" customHeight="1">
      <x:c r="A574" s="11" t="n">
        <x:v>10569</x:v>
      </x:c>
      <x:c r="B574" s="31" t="n">
        <x:v>129.3</x:v>
      </x:c>
      <x:c r="C574" s="31" t="n">
        <x:v>78.5</x:v>
      </x:c>
      <x:c r="D574" s="11" t="n">
        <x:v>5</x:v>
      </x:c>
      <x:c r="E574" s="11" t="n">
        <x:v>14</x:v>
      </x:c>
      <x:c r="F574" s="11" t="n">
        <x:v>1982</x:v>
      </x:c>
      <x:c r="G574" s="31" t="n">
        <x:v>4.9</x:v>
      </x:c>
      <x:c r="H574" s="11" t="n">
        <x:v>283</x:v>
      </x:c>
      <x:c r="I574" s="11" t="n">
        <x:v>6</x:v>
      </x:c>
      <x:c r="J574" s="11" t="n">
        <x:v>532</x:v>
      </x:c>
      <x:c r="K574" s="9" t="str">
        <x:v>Вс</x:v>
      </x:c>
      <x:c r="L574" s="10" t="n">
        <x:v>59.57</x:v>
      </x:c>
      <x:c r="M574" s="31" t="n">
        <x:v>24099.3</x:v>
      </x:c>
    </x:row>
    <x:row r="575" ht="23" customHeight="1">
      <x:c r="A575" s="12" t="n">
        <x:v>10570</x:v>
      </x:c>
      <x:c r="B575" s="32" t="n">
        <x:v>67</x:v>
      </x:c>
      <x:c r="C575" s="32" t="n">
        <x:v>44.1</x:v>
      </x:c>
      <x:c r="D575" s="12" t="n">
        <x:v>2</x:v>
      </x:c>
      <x:c r="E575" s="12" t="n">
        <x:v>4</x:v>
      </x:c>
      <x:c r="F575" s="12" t="n">
        <x:v>2018</x:v>
      </x:c>
      <x:c r="G575" s="32" t="n">
        <x:v>25.1</x:v>
      </x:c>
      <x:c r="H575" s="12" t="n">
        <x:v>1982</x:v>
      </x:c>
      <x:c r="I575" s="12" t="n">
        <x:v>9</x:v>
      </x:c>
      <x:c r="J575" s="12" t="n">
        <x:v>511</x:v>
      </x:c>
      <x:c r="K575" s="3" t="str">
        <x:v>Вт</x:v>
      </x:c>
      <x:c r="L575" s="8" t="n">
        <x:v>30.22</x:v>
      </x:c>
      <x:c r="M575" s="32" t="n">
        <x:v>12938.6</x:v>
      </x:c>
    </x:row>
    <x:row r="576" ht="23" customHeight="1">
      <x:c r="A576" s="11" t="n">
        <x:v>10571</x:v>
      </x:c>
      <x:c r="B576" s="31" t="n">
        <x:v>85.6</x:v>
      </x:c>
      <x:c r="C576" s="31" t="n">
        <x:v>52.1</x:v>
      </x:c>
      <x:c r="D576" s="11" t="n">
        <x:v>3</x:v>
      </x:c>
      <x:c r="E576" s="11" t="n">
        <x:v>21</x:v>
      </x:c>
      <x:c r="F576" s="11" t="n">
        <x:v>2023</x:v>
      </x:c>
      <x:c r="G576" s="31" t="n">
        <x:v>14.2</x:v>
      </x:c>
      <x:c r="H576" s="11" t="n">
        <x:v>1108</x:v>
      </x:c>
      <x:c r="I576" s="11" t="n">
        <x:v>1</x:v>
      </x:c>
      <x:c r="J576" s="11" t="n">
        <x:v>566</x:v>
      </x:c>
      <x:c r="K576" s="9" t="str">
        <x:v>Сб</x:v>
      </x:c>
      <x:c r="L576" s="10" t="n">
        <x:v>38.78</x:v>
      </x:c>
      <x:c r="M576" s="31" t="n">
        <x:v>18482.1</x:v>
      </x:c>
    </x:row>
    <x:row r="577" ht="23" customHeight="1">
      <x:c r="A577" s="12" t="n">
        <x:v>10572</x:v>
      </x:c>
      <x:c r="B577" s="32" t="n">
        <x:v>115.8</x:v>
      </x:c>
      <x:c r="C577" s="32" t="n">
        <x:v>76</x:v>
      </x:c>
      <x:c r="D577" s="12" t="n">
        <x:v>4</x:v>
      </x:c>
      <x:c r="E577" s="12" t="n">
        <x:v>8</x:v>
      </x:c>
      <x:c r="F577" s="12" t="n">
        <x:v>2023</x:v>
      </x:c>
      <x:c r="G577" s="32" t="n">
        <x:v>16.3</x:v>
      </x:c>
      <x:c r="H577" s="12" t="n">
        <x:v>1328</x:v>
      </x:c>
      <x:c r="I577" s="12" t="n">
        <x:v>4</x:v>
      </x:c>
      <x:c r="J577" s="12" t="n">
        <x:v>698</x:v>
      </x:c>
      <x:c r="K577" s="3" t="str">
        <x:v>Пн</x:v>
      </x:c>
      <x:c r="L577" s="8" t="n">
        <x:v>56.27</x:v>
      </x:c>
      <x:c r="M577" s="32" t="n">
        <x:v>22607.4</x:v>
      </x:c>
    </x:row>
    <x:row r="578" ht="23" customHeight="1">
      <x:c r="A578" s="11" t="n">
        <x:v>10573</x:v>
      </x:c>
      <x:c r="B578" s="31" t="n">
        <x:v>72.4</x:v>
      </x:c>
      <x:c r="C578" s="31" t="n">
        <x:v>46.1</x:v>
      </x:c>
      <x:c r="D578" s="11" t="n">
        <x:v>3</x:v>
      </x:c>
      <x:c r="E578" s="11" t="n">
        <x:v>3</x:v>
      </x:c>
      <x:c r="F578" s="11" t="n">
        <x:v>1979</x:v>
      </x:c>
      <x:c r="G578" s="31" t="n">
        <x:v>3</x:v>
      </x:c>
      <x:c r="H578" s="11" t="n">
        <x:v>109</x:v>
      </x:c>
      <x:c r="I578" s="11" t="n">
        <x:v>1</x:v>
      </x:c>
      <x:c r="J578" s="11" t="n">
        <x:v>720</x:v>
      </x:c>
      <x:c r="K578" s="9" t="str">
        <x:v>Пн</x:v>
      </x:c>
      <x:c r="L578" s="10" t="n">
        <x:v>22.75</x:v>
      </x:c>
      <x:c r="M578" s="31" t="n">
        <x:v>14821.5</x:v>
      </x:c>
    </x:row>
    <x:row r="579" ht="23" customHeight="1">
      <x:c r="A579" s="12" t="n">
        <x:v>10574</x:v>
      </x:c>
      <x:c r="B579" s="32" t="n">
        <x:v>97.7</x:v>
      </x:c>
      <x:c r="C579" s="32" t="n">
        <x:v>58.6</x:v>
      </x:c>
      <x:c r="D579" s="12" t="n">
        <x:v>4</x:v>
      </x:c>
      <x:c r="E579" s="12" t="n">
        <x:v>19</x:v>
      </x:c>
      <x:c r="F579" s="12" t="n">
        <x:v>2022</x:v>
      </x:c>
      <x:c r="G579" s="32" t="n">
        <x:v>10.6</x:v>
      </x:c>
      <x:c r="H579" s="12" t="n">
        <x:v>975</x:v>
      </x:c>
      <x:c r="I579" s="12" t="n">
        <x:v>1</x:v>
      </x:c>
      <x:c r="J579" s="12" t="n">
        <x:v>836</x:v>
      </x:c>
      <x:c r="K579" s="3" t="str">
        <x:v>Пн</x:v>
      </x:c>
      <x:c r="L579" s="8" t="n">
        <x:v>30.19</x:v>
      </x:c>
      <x:c r="M579" s="32" t="n">
        <x:v>20604.2</x:v>
      </x:c>
    </x:row>
    <x:row r="580" ht="23" customHeight="1">
      <x:c r="A580" s="11" t="n">
        <x:v>10575</x:v>
      </x:c>
      <x:c r="B580" s="31" t="n">
        <x:v>124.6</x:v>
      </x:c>
      <x:c r="C580" s="31" t="n">
        <x:v>71.7</x:v>
      </x:c>
      <x:c r="D580" s="11" t="n">
        <x:v>4</x:v>
      </x:c>
      <x:c r="E580" s="11" t="n">
        <x:v>14</x:v>
      </x:c>
      <x:c r="F580" s="11" t="n">
        <x:v>2013</x:v>
      </x:c>
      <x:c r="G580" s="31" t="n">
        <x:v>3.1</x:v>
      </x:c>
      <x:c r="H580" s="11" t="n">
        <x:v>275</x:v>
      </x:c>
      <x:c r="I580" s="11" t="n">
        <x:v>8</x:v>
      </x:c>
      <x:c r="J580" s="11" t="n">
        <x:v>347</x:v>
      </x:c>
      <x:c r="K580" s="9" t="str">
        <x:v>Пн</x:v>
      </x:c>
      <x:c r="L580" s="10" t="n">
        <x:v>68.28</x:v>
      </x:c>
      <x:c r="M580" s="31" t="n">
        <x:v>25996.8</x:v>
      </x:c>
    </x:row>
    <x:row r="581" ht="23" customHeight="1">
      <x:c r="A581" s="12" t="n">
        <x:v>10576</x:v>
      </x:c>
      <x:c r="B581" s="32" t="n">
        <x:v>134.3</x:v>
      </x:c>
      <x:c r="C581" s="32" t="n">
        <x:v>86.9</x:v>
      </x:c>
      <x:c r="D581" s="12" t="n">
        <x:v>5</x:v>
      </x:c>
      <x:c r="E581" s="12" t="n">
        <x:v>20</x:v>
      </x:c>
      <x:c r="F581" s="12" t="n">
        <x:v>2016</x:v>
      </x:c>
      <x:c r="G581" s="32" t="n">
        <x:v>31</x:v>
      </x:c>
      <x:c r="H581" s="12" t="n">
        <x:v>2487</x:v>
      </x:c>
      <x:c r="I581" s="12" t="n">
        <x:v>2</x:v>
      </x:c>
      <x:c r="J581" s="12" t="n">
        <x:v>680</x:v>
      </x:c>
      <x:c r="K581" s="3" t="str">
        <x:v>Пн</x:v>
      </x:c>
      <x:c r="L581" s="8" t="n">
        <x:v>51.83</x:v>
      </x:c>
      <x:c r="M581" s="32" t="n">
        <x:v>24617.6</x:v>
      </x:c>
    </x:row>
    <x:row r="582" ht="23" customHeight="1">
      <x:c r="A582" s="11" t="n">
        <x:v>10577</x:v>
      </x:c>
      <x:c r="B582" s="31" t="n">
        <x:v>44.5</x:v>
      </x:c>
      <x:c r="C582" s="31" t="n">
        <x:v>23.8</x:v>
      </x:c>
      <x:c r="D582" s="11" t="n">
        <x:v>2</x:v>
      </x:c>
      <x:c r="E582" s="11" t="n">
        <x:v>17</x:v>
      </x:c>
      <x:c r="F582" s="11" t="n">
        <x:v>2022</x:v>
      </x:c>
      <x:c r="G582" s="31" t="n">
        <x:v>10</x:v>
      </x:c>
      <x:c r="H582" s="11" t="n">
        <x:v>859</x:v>
      </x:c>
      <x:c r="I582" s="11" t="n">
        <x:v>1</x:v>
      </x:c>
      <x:c r="J582" s="11" t="n">
        <x:v>219</x:v>
      </x:c>
      <x:c r="K582" s="9" t="str">
        <x:v>Чт</x:v>
      </x:c>
      <x:c r="L582" s="10" t="n">
        <x:v>40.07</x:v>
      </x:c>
      <x:c r="M582" s="31" t="n">
        <x:v>10995.2</x:v>
      </x:c>
    </x:row>
    <x:row r="583" ht="23" customHeight="1">
      <x:c r="A583" s="12" t="n">
        <x:v>10578</x:v>
      </x:c>
      <x:c r="B583" s="32" t="n">
        <x:v>131.8</x:v>
      </x:c>
      <x:c r="C583" s="32" t="n">
        <x:v>84.2</x:v>
      </x:c>
      <x:c r="D583" s="12" t="n">
        <x:v>5</x:v>
      </x:c>
      <x:c r="E583" s="12" t="n">
        <x:v>25</x:v>
      </x:c>
      <x:c r="F583" s="12" t="n">
        <x:v>1979</x:v>
      </x:c>
      <x:c r="G583" s="32" t="n">
        <x:v>20.4</x:v>
      </x:c>
      <x:c r="H583" s="12" t="n">
        <x:v>1749</x:v>
      </x:c>
      <x:c r="I583" s="12" t="n">
        <x:v>8</x:v>
      </x:c>
      <x:c r="J583" s="12" t="n">
        <x:v>166</x:v>
      </x:c>
      <x:c r="K583" s="3" t="str">
        <x:v>Пт</x:v>
      </x:c>
      <x:c r="L583" s="8" t="n">
        <x:v>51.89</x:v>
      </x:c>
      <x:c r="M583" s="32" t="n">
        <x:v>24026</x:v>
      </x:c>
    </x:row>
    <x:row r="584" ht="23" customHeight="1">
      <x:c r="A584" s="11" t="n">
        <x:v>10579</x:v>
      </x:c>
      <x:c r="B584" s="31" t="n">
        <x:v>83.1</x:v>
      </x:c>
      <x:c r="C584" s="31" t="n">
        <x:v>56.5</x:v>
      </x:c>
      <x:c r="D584" s="11" t="n">
        <x:v>3</x:v>
      </x:c>
      <x:c r="E584" s="11" t="n">
        <x:v>8</x:v>
      </x:c>
      <x:c r="F584" s="11" t="n">
        <x:v>2015</x:v>
      </x:c>
      <x:c r="G584" s="31" t="n">
        <x:v>3.3</x:v>
      </x:c>
      <x:c r="H584" s="11" t="n">
        <x:v>308</x:v>
      </x:c>
      <x:c r="I584" s="11" t="n">
        <x:v>4</x:v>
      </x:c>
      <x:c r="J584" s="11" t="n">
        <x:v>672</x:v>
      </x:c>
      <x:c r="K584" s="9" t="str">
        <x:v>Сб</x:v>
      </x:c>
      <x:c r="L584" s="10" t="n">
        <x:v>60.04</x:v>
      </x:c>
      <x:c r="M584" s="31" t="n">
        <x:v>17493.1</x:v>
      </x:c>
    </x:row>
    <x:row r="585" ht="23" customHeight="1">
      <x:c r="A585" s="12" t="n">
        <x:v>10580</x:v>
      </x:c>
      <x:c r="B585" s="32" t="n">
        <x:v>56.9</x:v>
      </x:c>
      <x:c r="C585" s="32" t="n">
        <x:v>37.9</x:v>
      </x:c>
      <x:c r="D585" s="12" t="n">
        <x:v>3</x:v>
      </x:c>
      <x:c r="E585" s="12" t="n">
        <x:v>24</x:v>
      </x:c>
      <x:c r="F585" s="12" t="n">
        <x:v>1982</x:v>
      </x:c>
      <x:c r="G585" s="32" t="n">
        <x:v>24</x:v>
      </x:c>
      <x:c r="H585" s="12" t="n">
        <x:v>1967</x:v>
      </x:c>
      <x:c r="I585" s="12" t="n">
        <x:v>3</x:v>
      </x:c>
      <x:c r="J585" s="12" t="n">
        <x:v>426</x:v>
      </x:c>
      <x:c r="K585" s="3" t="str">
        <x:v>Чт</x:v>
      </x:c>
      <x:c r="L585" s="8" t="n">
        <x:v>66.87</x:v>
      </x:c>
      <x:c r="M585" s="32" t="n">
        <x:v>9997.7</x:v>
      </x:c>
    </x:row>
    <x:row r="586" ht="23" customHeight="1">
      <x:c r="A586" s="11" t="n">
        <x:v>10581</x:v>
      </x:c>
      <x:c r="B586" s="31" t="n">
        <x:v>79.4</x:v>
      </x:c>
      <x:c r="C586" s="31" t="n">
        <x:v>54.1</x:v>
      </x:c>
      <x:c r="D586" s="11" t="n">
        <x:v>3</x:v>
      </x:c>
      <x:c r="E586" s="11" t="n">
        <x:v>14</x:v>
      </x:c>
      <x:c r="F586" s="11" t="n">
        <x:v>2006</x:v>
      </x:c>
      <x:c r="G586" s="31" t="n">
        <x:v>12.7</x:v>
      </x:c>
      <x:c r="H586" s="11" t="n">
        <x:v>1023</x:v>
      </x:c>
      <x:c r="I586" s="11" t="n">
        <x:v>4</x:v>
      </x:c>
      <x:c r="J586" s="11" t="n">
        <x:v>802</x:v>
      </x:c>
      <x:c r="K586" s="9" t="str">
        <x:v>Сб</x:v>
      </x:c>
      <x:c r="L586" s="10" t="n">
        <x:v>33.31</x:v>
      </x:c>
      <x:c r="M586" s="31" t="n">
        <x:v>15332.5</x:v>
      </x:c>
    </x:row>
    <x:row r="587" ht="23" customHeight="1">
      <x:c r="A587" s="12" t="n">
        <x:v>10582</x:v>
      </x:c>
      <x:c r="B587" s="32" t="n">
        <x:v>137.8</x:v>
      </x:c>
      <x:c r="C587" s="32" t="n">
        <x:v>93.5</x:v>
      </x:c>
      <x:c r="D587" s="12" t="n">
        <x:v>5</x:v>
      </x:c>
      <x:c r="E587" s="12" t="n">
        <x:v>6</x:v>
      </x:c>
      <x:c r="F587" s="12" t="n">
        <x:v>2007</x:v>
      </x:c>
      <x:c r="G587" s="32" t="n">
        <x:v>31.6</x:v>
      </x:c>
      <x:c r="H587" s="12" t="n">
        <x:v>2521</x:v>
      </x:c>
      <x:c r="I587" s="12" t="n">
        <x:v>5</x:v>
      </x:c>
      <x:c r="J587" s="12" t="n">
        <x:v>569</x:v>
      </x:c>
      <x:c r="K587" s="3" t="str">
        <x:v>Вт</x:v>
      </x:c>
      <x:c r="L587" s="8" t="n">
        <x:v>34.63</x:v>
      </x:c>
      <x:c r="M587" s="32" t="n">
        <x:v>23833.6</x:v>
      </x:c>
    </x:row>
    <x:row r="588" ht="23" customHeight="1">
      <x:c r="A588" s="11" t="n">
        <x:v>10583</x:v>
      </x:c>
      <x:c r="B588" s="31" t="n">
        <x:v>83.2</x:v>
      </x:c>
      <x:c r="C588" s="31" t="n">
        <x:v>53.1</x:v>
      </x:c>
      <x:c r="D588" s="11" t="n">
        <x:v>3</x:v>
      </x:c>
      <x:c r="E588" s="11" t="n">
        <x:v>23</x:v>
      </x:c>
      <x:c r="F588" s="11" t="n">
        <x:v>1993</x:v>
      </x:c>
      <x:c r="G588" s="31" t="n">
        <x:v>31.3</x:v>
      </x:c>
      <x:c r="H588" s="11" t="n">
        <x:v>2480</x:v>
      </x:c>
      <x:c r="I588" s="11" t="n">
        <x:v>1</x:v>
      </x:c>
      <x:c r="J588" s="11" t="n">
        <x:v>592</x:v>
      </x:c>
      <x:c r="K588" s="9" t="str">
        <x:v>Вс</x:v>
      </x:c>
      <x:c r="L588" s="10" t="n">
        <x:v>59.13</x:v>
      </x:c>
      <x:c r="M588" s="31" t="n">
        <x:v>15447</x:v>
      </x:c>
    </x:row>
    <x:row r="589" ht="23" customHeight="1">
      <x:c r="A589" s="12" t="n">
        <x:v>10584</x:v>
      </x:c>
      <x:c r="B589" s="32" t="n">
        <x:v>64.8</x:v>
      </x:c>
      <x:c r="C589" s="32" t="n">
        <x:v>43.2</x:v>
      </x:c>
      <x:c r="D589" s="12" t="n">
        <x:v>3</x:v>
      </x:c>
      <x:c r="E589" s="12" t="n">
        <x:v>22</x:v>
      </x:c>
      <x:c r="F589" s="12" t="n">
        <x:v>1971</x:v>
      </x:c>
      <x:c r="G589" s="32" t="n">
        <x:v>12.7</x:v>
      </x:c>
      <x:c r="H589" s="12" t="n">
        <x:v>975</x:v>
      </x:c>
      <x:c r="I589" s="12" t="n">
        <x:v>1</x:v>
      </x:c>
      <x:c r="J589" s="12" t="n">
        <x:v>800</x:v>
      </x:c>
      <x:c r="K589" s="3" t="str">
        <x:v>Ср</x:v>
      </x:c>
      <x:c r="L589" s="8" t="n">
        <x:v>59.61</x:v>
      </x:c>
      <x:c r="M589" s="32" t="n">
        <x:v>12430</x:v>
      </x:c>
    </x:row>
    <x:row r="590" ht="23" customHeight="1">
      <x:c r="A590" s="11" t="n">
        <x:v>10585</x:v>
      </x:c>
      <x:c r="B590" s="31" t="n">
        <x:v>98.9</x:v>
      </x:c>
      <x:c r="C590" s="31" t="n">
        <x:v>62.2</x:v>
      </x:c>
      <x:c r="D590" s="11" t="n">
        <x:v>4</x:v>
      </x:c>
      <x:c r="E590" s="11" t="n">
        <x:v>16</x:v>
      </x:c>
      <x:c r="F590" s="11" t="n">
        <x:v>1991</x:v>
      </x:c>
      <x:c r="G590" s="31" t="n">
        <x:v>31.7</x:v>
      </x:c>
      <x:c r="H590" s="11" t="n">
        <x:v>2502</x:v>
      </x:c>
      <x:c r="I590" s="11" t="n">
        <x:v>3</x:v>
      </x:c>
      <x:c r="J590" s="11" t="n">
        <x:v>762</x:v>
      </x:c>
      <x:c r="K590" s="9" t="str">
        <x:v>Пт</x:v>
      </x:c>
      <x:c r="L590" s="10" t="n">
        <x:v>29.84</x:v>
      </x:c>
      <x:c r="M590" s="31" t="n">
        <x:v>16444.2</x:v>
      </x:c>
    </x:row>
    <x:row r="591" ht="23" customHeight="1">
      <x:c r="A591" s="12" t="n">
        <x:v>10586</x:v>
      </x:c>
      <x:c r="B591" s="32" t="n">
        <x:v>54.9</x:v>
      </x:c>
      <x:c r="C591" s="32" t="n">
        <x:v>32.2</x:v>
      </x:c>
      <x:c r="D591" s="12" t="n">
        <x:v>2</x:v>
      </x:c>
      <x:c r="E591" s="12" t="n">
        <x:v>25</x:v>
      </x:c>
      <x:c r="F591" s="12" t="n">
        <x:v>1986</x:v>
      </x:c>
      <x:c r="G591" s="32" t="n">
        <x:v>34.9</x:v>
      </x:c>
      <x:c r="H591" s="12" t="n">
        <x:v>2724</x:v>
      </x:c>
      <x:c r="I591" s="12" t="n">
        <x:v>6</x:v>
      </x:c>
      <x:c r="J591" s="12" t="n">
        <x:v>385</x:v>
      </x:c>
      <x:c r="K591" s="3" t="str">
        <x:v>Вт</x:v>
      </x:c>
      <x:c r="L591" s="8" t="n">
        <x:v>35.19</x:v>
      </x:c>
      <x:c r="M591" s="32" t="n">
        <x:v>9549.7</x:v>
      </x:c>
    </x:row>
    <x:row r="592" ht="23" customHeight="1">
      <x:c r="A592" s="11" t="n">
        <x:v>10587</x:v>
      </x:c>
      <x:c r="B592" s="31" t="n">
        <x:v>36.5</x:v>
      </x:c>
      <x:c r="C592" s="31" t="n">
        <x:v>18.7</x:v>
      </x:c>
      <x:c r="D592" s="11" t="n">
        <x:v>1</x:v>
      </x:c>
      <x:c r="E592" s="11" t="n">
        <x:v>19</x:v>
      </x:c>
      <x:c r="F592" s="11" t="n">
        <x:v>2005</x:v>
      </x:c>
      <x:c r="G592" s="31" t="n">
        <x:v>29.2</x:v>
      </x:c>
      <x:c r="H592" s="11" t="n">
        <x:v>2332</x:v>
      </x:c>
      <x:c r="I592" s="11" t="n">
        <x:v>1</x:v>
      </x:c>
      <x:c r="J592" s="11" t="n">
        <x:v>707</x:v>
      </x:c>
      <x:c r="K592" s="9" t="str">
        <x:v>Чт</x:v>
      </x:c>
      <x:c r="L592" s="10" t="n">
        <x:v>47.09</x:v>
      </x:c>
      <x:c r="M592" s="31" t="n">
        <x:v>6751.8</x:v>
      </x:c>
    </x:row>
    <x:row r="593" ht="23" customHeight="1">
      <x:c r="A593" s="12" t="n">
        <x:v>10588</x:v>
      </x:c>
      <x:c r="B593" s="32" t="n">
        <x:v>42.4</x:v>
      </x:c>
      <x:c r="C593" s="32" t="n">
        <x:v>24.2</x:v>
      </x:c>
      <x:c r="D593" s="12" t="n">
        <x:v>1</x:v>
      </x:c>
      <x:c r="E593" s="12" t="n">
        <x:v>14</x:v>
      </x:c>
      <x:c r="F593" s="12" t="n">
        <x:v>1983</x:v>
      </x:c>
      <x:c r="G593" s="32" t="n">
        <x:v>29.9</x:v>
      </x:c>
      <x:c r="H593" s="12" t="n">
        <x:v>2308</x:v>
      </x:c>
      <x:c r="I593" s="12" t="n">
        <x:v>2</x:v>
      </x:c>
      <x:c r="J593" s="12" t="n">
        <x:v>411</x:v>
      </x:c>
      <x:c r="K593" s="3" t="str">
        <x:v>Ср</x:v>
      </x:c>
      <x:c r="L593" s="8" t="n">
        <x:v>50.35</x:v>
      </x:c>
      <x:c r="M593" s="32" t="n">
        <x:v>7232.9</x:v>
      </x:c>
    </x:row>
    <x:row r="594" ht="23" customHeight="1">
      <x:c r="A594" s="11" t="n">
        <x:v>10589</x:v>
      </x:c>
      <x:c r="B594" s="31" t="n">
        <x:v>42.3</x:v>
      </x:c>
      <x:c r="C594" s="31" t="n">
        <x:v>26.4</x:v>
      </x:c>
      <x:c r="D594" s="11" t="n">
        <x:v>1</x:v>
      </x:c>
      <x:c r="E594" s="11" t="n">
        <x:v>19</x:v>
      </x:c>
      <x:c r="F594" s="11" t="n">
        <x:v>1979</x:v>
      </x:c>
      <x:c r="G594" s="31" t="n">
        <x:v>10.2</x:v>
      </x:c>
      <x:c r="H594" s="11" t="n">
        <x:v>826</x:v>
      </x:c>
      <x:c r="I594" s="11" t="n">
        <x:v>7</x:v>
      </x:c>
      <x:c r="J594" s="11" t="n">
        <x:v>408</x:v>
      </x:c>
      <x:c r="K594" s="9" t="str">
        <x:v>Вс</x:v>
      </x:c>
      <x:c r="L594" s="10" t="n">
        <x:v>50.78</x:v>
      </x:c>
      <x:c r="M594" s="31" t="n">
        <x:v>9000.2</x:v>
      </x:c>
    </x:row>
    <x:row r="595" ht="23" customHeight="1">
      <x:c r="A595" s="12" t="n">
        <x:v>10590</x:v>
      </x:c>
      <x:c r="B595" s="32" t="n">
        <x:v>45</x:v>
      </x:c>
      <x:c r="C595" s="32" t="n">
        <x:v>29.4</x:v>
      </x:c>
      <x:c r="D595" s="12" t="n">
        <x:v>3</x:v>
      </x:c>
      <x:c r="E595" s="12" t="n">
        <x:v>3</x:v>
      </x:c>
      <x:c r="F595" s="12" t="n">
        <x:v>2004</x:v>
      </x:c>
      <x:c r="G595" s="32" t="n">
        <x:v>21</x:v>
      </x:c>
      <x:c r="H595" s="12" t="n">
        <x:v>1678</x:v>
      </x:c>
      <x:c r="I595" s="12" t="n">
        <x:v>1</x:v>
      </x:c>
      <x:c r="J595" s="12" t="n">
        <x:v>874</x:v>
      </x:c>
      <x:c r="K595" s="3" t="str">
        <x:v>Вт</x:v>
      </x:c>
      <x:c r="L595" s="8" t="n">
        <x:v>29.61</x:v>
      </x:c>
      <x:c r="M595" s="32" t="n">
        <x:v>9719.2</x:v>
      </x:c>
    </x:row>
    <x:row r="596" ht="23" customHeight="1">
      <x:c r="A596" s="11" t="n">
        <x:v>10591</x:v>
      </x:c>
      <x:c r="B596" s="31" t="n">
        <x:v>43.5</x:v>
      </x:c>
      <x:c r="C596" s="31" t="n">
        <x:v>27.7</x:v>
      </x:c>
      <x:c r="D596" s="11" t="n">
        <x:v>1</x:v>
      </x:c>
      <x:c r="E596" s="11" t="n">
        <x:v>10</x:v>
      </x:c>
      <x:c r="F596" s="11" t="n">
        <x:v>1994</x:v>
      </x:c>
      <x:c r="G596" s="31" t="n">
        <x:v>4.2</x:v>
      </x:c>
      <x:c r="H596" s="11" t="n">
        <x:v>343</x:v>
      </x:c>
      <x:c r="I596" s="11" t="n">
        <x:v>7</x:v>
      </x:c>
      <x:c r="J596" s="11" t="n">
        <x:v>196</x:v>
      </x:c>
      <x:c r="K596" s="9" t="str">
        <x:v>Вс</x:v>
      </x:c>
      <x:c r="L596" s="10" t="n">
        <x:v>50.63</x:v>
      </x:c>
      <x:c r="M596" s="31" t="n">
        <x:v>9751.5</x:v>
      </x:c>
    </x:row>
    <x:row r="597" ht="23" customHeight="1">
      <x:c r="A597" s="12" t="n">
        <x:v>10592</x:v>
      </x:c>
      <x:c r="B597" s="32" t="n">
        <x:v>99.8</x:v>
      </x:c>
      <x:c r="C597" s="32" t="n">
        <x:v>59.4</x:v>
      </x:c>
      <x:c r="D597" s="12" t="n">
        <x:v>4</x:v>
      </x:c>
      <x:c r="E597" s="12" t="n">
        <x:v>19</x:v>
      </x:c>
      <x:c r="F597" s="12" t="n">
        <x:v>1972</x:v>
      </x:c>
      <x:c r="G597" s="32" t="n">
        <x:v>5.1</x:v>
      </x:c>
      <x:c r="H597" s="12" t="n">
        <x:v>382</x:v>
      </x:c>
      <x:c r="I597" s="12" t="n">
        <x:v>4</x:v>
      </x:c>
      <x:c r="J597" s="12" t="n">
        <x:v>212</x:v>
      </x:c>
      <x:c r="K597" s="3" t="str">
        <x:v>Вс</x:v>
      </x:c>
      <x:c r="L597" s="8" t="n">
        <x:v>39.24</x:v>
      </x:c>
      <x:c r="M597" s="32" t="n">
        <x:v>18617.4</x:v>
      </x:c>
    </x:row>
    <x:row r="598" ht="23" customHeight="1">
      <x:c r="A598" s="11" t="n">
        <x:v>10593</x:v>
      </x:c>
      <x:c r="B598" s="31" t="n">
        <x:v>48.4</x:v>
      </x:c>
      <x:c r="C598" s="31" t="n">
        <x:v>28.4</x:v>
      </x:c>
      <x:c r="D598" s="11" t="n">
        <x:v>2</x:v>
      </x:c>
      <x:c r="E598" s="11" t="n">
        <x:v>9</x:v>
      </x:c>
      <x:c r="F598" s="11" t="n">
        <x:v>2016</x:v>
      </x:c>
      <x:c r="G598" s="31" t="n">
        <x:v>35</x:v>
      </x:c>
      <x:c r="H598" s="11" t="n">
        <x:v>2954</x:v>
      </x:c>
      <x:c r="I598" s="11" t="n">
        <x:v>6</x:v>
      </x:c>
      <x:c r="J598" s="11" t="n">
        <x:v>736</x:v>
      </x:c>
      <x:c r="K598" s="9" t="str">
        <x:v>Сб</x:v>
      </x:c>
      <x:c r="L598" s="10" t="n">
        <x:v>32.51</x:v>
      </x:c>
      <x:c r="M598" s="31" t="n">
        <x:v>7684.9</x:v>
      </x:c>
    </x:row>
    <x:row r="599" ht="23" customHeight="1">
      <x:c r="A599" s="12" t="n">
        <x:v>10594</x:v>
      </x:c>
      <x:c r="B599" s="32" t="n">
        <x:v>66.7</x:v>
      </x:c>
      <x:c r="C599" s="32" t="n">
        <x:v>45.3</x:v>
      </x:c>
      <x:c r="D599" s="12" t="n">
        <x:v>3</x:v>
      </x:c>
      <x:c r="E599" s="12" t="n">
        <x:v>20</x:v>
      </x:c>
      <x:c r="F599" s="12" t="n">
        <x:v>2007</x:v>
      </x:c>
      <x:c r="G599" s="32" t="n">
        <x:v>12.8</x:v>
      </x:c>
      <x:c r="H599" s="12" t="n">
        <x:v>1092</x:v>
      </x:c>
      <x:c r="I599" s="12" t="n">
        <x:v>8</x:v>
      </x:c>
      <x:c r="J599" s="12" t="n">
        <x:v>555</x:v>
      </x:c>
      <x:c r="K599" s="3" t="str">
        <x:v>Ср</x:v>
      </x:c>
      <x:c r="L599" s="8" t="n">
        <x:v>49.84</x:v>
      </x:c>
      <x:c r="M599" s="32" t="n">
        <x:v>13966.7</x:v>
      </x:c>
    </x:row>
    <x:row r="600" ht="23" customHeight="1">
      <x:c r="A600" s="11" t="n">
        <x:v>10595</x:v>
      </x:c>
      <x:c r="B600" s="31" t="n">
        <x:v>128.4</x:v>
      </x:c>
      <x:c r="C600" s="31" t="n">
        <x:v>70.4</x:v>
      </x:c>
      <x:c r="D600" s="11" t="n">
        <x:v>5</x:v>
      </x:c>
      <x:c r="E600" s="11" t="n">
        <x:v>13</x:v>
      </x:c>
      <x:c r="F600" s="11" t="n">
        <x:v>1986</x:v>
      </x:c>
      <x:c r="G600" s="31" t="n">
        <x:v>26.7</x:v>
      </x:c>
      <x:c r="H600" s="11" t="n">
        <x:v>2074</x:v>
      </x:c>
      <x:c r="I600" s="11" t="n">
        <x:v>9</x:v>
      </x:c>
      <x:c r="J600" s="11" t="n">
        <x:v>562</x:v>
      </x:c>
      <x:c r="K600" s="9" t="str">
        <x:v>Сб</x:v>
      </x:c>
      <x:c r="L600" s="10" t="n">
        <x:v>48.31</x:v>
      </x:c>
      <x:c r="M600" s="31" t="n">
        <x:v>22739.9</x:v>
      </x:c>
    </x:row>
    <x:row r="601" ht="23" customHeight="1">
      <x:c r="A601" s="12" t="n">
        <x:v>10596</x:v>
      </x:c>
      <x:c r="B601" s="32" t="n">
        <x:v>81.1</x:v>
      </x:c>
      <x:c r="C601" s="32" t="n">
        <x:v>50.2</x:v>
      </x:c>
      <x:c r="D601" s="12" t="n">
        <x:v>4</x:v>
      </x:c>
      <x:c r="E601" s="12" t="n">
        <x:v>7</x:v>
      </x:c>
      <x:c r="F601" s="12" t="n">
        <x:v>1981</x:v>
      </x:c>
      <x:c r="G601" s="32" t="n">
        <x:v>28.6</x:v>
      </x:c>
      <x:c r="H601" s="12" t="n">
        <x:v>2300</x:v>
      </x:c>
      <x:c r="I601" s="12" t="n">
        <x:v>6</x:v>
      </x:c>
      <x:c r="J601" s="12" t="n">
        <x:v>231</x:v>
      </x:c>
      <x:c r="K601" s="3" t="str">
        <x:v>Вс</x:v>
      </x:c>
      <x:c r="L601" s="8" t="n">
        <x:v>62.03</x:v>
      </x:c>
      <x:c r="M601" s="32" t="n">
        <x:v>13998.4</x:v>
      </x:c>
    </x:row>
    <x:row r="602" ht="23" customHeight="1">
      <x:c r="A602" s="11" t="n">
        <x:v>10597</x:v>
      </x:c>
      <x:c r="B602" s="31" t="n">
        <x:v>102.8</x:v>
      </x:c>
      <x:c r="C602" s="31" t="n">
        <x:v>64.9</x:v>
      </x:c>
      <x:c r="D602" s="11" t="n">
        <x:v>4</x:v>
      </x:c>
      <x:c r="E602" s="11" t="n">
        <x:v>14</x:v>
      </x:c>
      <x:c r="F602" s="11" t="n">
        <x:v>2023</x:v>
      </x:c>
      <x:c r="G602" s="31" t="n">
        <x:v>30.3</x:v>
      </x:c>
      <x:c r="H602" s="11" t="n">
        <x:v>2394</x:v>
      </x:c>
      <x:c r="I602" s="11" t="n">
        <x:v>9</x:v>
      </x:c>
      <x:c r="J602" s="11" t="n">
        <x:v>220</x:v>
      </x:c>
      <x:c r="K602" s="9" t="str">
        <x:v>Вт</x:v>
      </x:c>
      <x:c r="L602" s="10" t="n">
        <x:v>37.09</x:v>
      </x:c>
      <x:c r="M602" s="31" t="n">
        <x:v>19840.1</x:v>
      </x:c>
    </x:row>
    <x:row r="603" ht="23" customHeight="1">
      <x:c r="A603" s="12" t="n">
        <x:v>10598</x:v>
      </x:c>
      <x:c r="B603" s="32" t="n">
        <x:v>47.3</x:v>
      </x:c>
      <x:c r="C603" s="32" t="n">
        <x:v>30</x:v>
      </x:c>
      <x:c r="D603" s="12" t="n">
        <x:v>2</x:v>
      </x:c>
      <x:c r="E603" s="12" t="n">
        <x:v>9</x:v>
      </x:c>
      <x:c r="F603" s="12" t="n">
        <x:v>2021</x:v>
      </x:c>
      <x:c r="G603" s="32" t="n">
        <x:v>34.9</x:v>
      </x:c>
      <x:c r="H603" s="12" t="n">
        <x:v>2741</x:v>
      </x:c>
      <x:c r="I603" s="12" t="n">
        <x:v>4</x:v>
      </x:c>
      <x:c r="J603" s="12" t="n">
        <x:v>296</x:v>
      </x:c>
      <x:c r="K603" s="3" t="str">
        <x:v>Вс</x:v>
      </x:c>
      <x:c r="L603" s="8" t="n">
        <x:v>53.53</x:v>
      </x:c>
      <x:c r="M603" s="32" t="n">
        <x:v>9067.4</x:v>
      </x:c>
    </x:row>
    <x:row r="604" ht="23" customHeight="1">
      <x:c r="A604" s="11" t="n">
        <x:v>10599</x:v>
      </x:c>
      <x:c r="B604" s="31" t="n">
        <x:v>49.5</x:v>
      </x:c>
      <x:c r="C604" s="31" t="n">
        <x:v>27.3</x:v>
      </x:c>
      <x:c r="D604" s="11" t="n">
        <x:v>2</x:v>
      </x:c>
      <x:c r="E604" s="11" t="n">
        <x:v>23</x:v>
      </x:c>
      <x:c r="F604" s="11" t="n">
        <x:v>1993</x:v>
      </x:c>
      <x:c r="G604" s="31" t="n">
        <x:v>10</x:v>
      </x:c>
      <x:c r="H604" s="11" t="n">
        <x:v>733</x:v>
      </x:c>
      <x:c r="I604" s="11" t="n">
        <x:v>6</x:v>
      </x:c>
      <x:c r="J604" s="11" t="n">
        <x:v>905</x:v>
      </x:c>
      <x:c r="K604" s="9" t="str">
        <x:v>Чт</x:v>
      </x:c>
      <x:c r="L604" s="10" t="n">
        <x:v>26.47</x:v>
      </x:c>
      <x:c r="M604" s="31" t="n">
        <x:v>10934.7</x:v>
      </x:c>
    </x:row>
    <x:row r="605" ht="23" customHeight="1">
      <x:c r="A605" s="12" t="n">
        <x:v>10600</x:v>
      </x:c>
      <x:c r="B605" s="32" t="n">
        <x:v>32.6</x:v>
      </x:c>
      <x:c r="C605" s="32" t="n">
        <x:v>15.2</x:v>
      </x:c>
      <x:c r="D605" s="12" t="n">
        <x:v>2</x:v>
      </x:c>
      <x:c r="E605" s="12" t="n">
        <x:v>25</x:v>
      </x:c>
      <x:c r="F605" s="12" t="n">
        <x:v>1998</x:v>
      </x:c>
      <x:c r="G605" s="32" t="n">
        <x:v>3.3</x:v>
      </x:c>
      <x:c r="H605" s="12" t="n">
        <x:v>286</x:v>
      </x:c>
      <x:c r="I605" s="12" t="n">
        <x:v>8</x:v>
      </x:c>
      <x:c r="J605" s="12" t="n">
        <x:v>581</x:v>
      </x:c>
      <x:c r="K605" s="3" t="str">
        <x:v>Вс</x:v>
      </x:c>
      <x:c r="L605" s="8" t="n">
        <x:v>45.88</x:v>
      </x:c>
      <x:c r="M605" s="32" t="n">
        <x:v>8682.2</x:v>
      </x:c>
    </x:row>
    <x:row r="606" ht="23" customHeight="1">
      <x:c r="A606" s="11" t="n">
        <x:v>10601</x:v>
      </x:c>
      <x:c r="B606" s="31" t="n">
        <x:v>46.9</x:v>
      </x:c>
      <x:c r="C606" s="31" t="n">
        <x:v>26</x:v>
      </x:c>
      <x:c r="D606" s="11" t="n">
        <x:v>1</x:v>
      </x:c>
      <x:c r="E606" s="11" t="n">
        <x:v>19</x:v>
      </x:c>
      <x:c r="F606" s="11" t="n">
        <x:v>2012</x:v>
      </x:c>
      <x:c r="G606" s="31" t="n">
        <x:v>15.6</x:v>
      </x:c>
      <x:c r="H606" s="11" t="n">
        <x:v>1214</x:v>
      </x:c>
      <x:c r="I606" s="11" t="n">
        <x:v>9</x:v>
      </x:c>
      <x:c r="J606" s="11" t="n">
        <x:v>733</x:v>
      </x:c>
      <x:c r="K606" s="9" t="str">
        <x:v>Сб</x:v>
      </x:c>
      <x:c r="L606" s="10" t="n">
        <x:v>56.96</x:v>
      </x:c>
      <x:c r="M606" s="31" t="n">
        <x:v>10813.9</x:v>
      </x:c>
    </x:row>
    <x:row r="607" ht="23" customHeight="1">
      <x:c r="A607" s="12" t="n">
        <x:v>10602</x:v>
      </x:c>
      <x:c r="B607" s="32" t="n">
        <x:v>59.2</x:v>
      </x:c>
      <x:c r="C607" s="32" t="n">
        <x:v>37.3</x:v>
      </x:c>
      <x:c r="D607" s="12" t="n">
        <x:v>3</x:v>
      </x:c>
      <x:c r="E607" s="12" t="n">
        <x:v>15</x:v>
      </x:c>
      <x:c r="F607" s="12" t="n">
        <x:v>1994</x:v>
      </x:c>
      <x:c r="G607" s="32" t="n">
        <x:v>6.3</x:v>
      </x:c>
      <x:c r="H607" s="12" t="n">
        <x:v>552</x:v>
      </x:c>
      <x:c r="I607" s="12" t="n">
        <x:v>3</x:v>
      </x:c>
      <x:c r="J607" s="12" t="n">
        <x:v>893</x:v>
      </x:c>
      <x:c r="K607" s="3" t="str">
        <x:v>Ср</x:v>
      </x:c>
      <x:c r="L607" s="8" t="n">
        <x:v>58.22</x:v>
      </x:c>
      <x:c r="M607" s="32" t="n">
        <x:v>12221.1</x:v>
      </x:c>
    </x:row>
    <x:row r="608" ht="23" customHeight="1">
      <x:c r="A608" s="11" t="n">
        <x:v>10603</x:v>
      </x:c>
      <x:c r="B608" s="31" t="n">
        <x:v>47.8</x:v>
      </x:c>
      <x:c r="C608" s="31" t="n">
        <x:v>31.1</x:v>
      </x:c>
      <x:c r="D608" s="11" t="n">
        <x:v>2</x:v>
      </x:c>
      <x:c r="E608" s="11" t="n">
        <x:v>20</x:v>
      </x:c>
      <x:c r="F608" s="11" t="n">
        <x:v>2005</x:v>
      </x:c>
      <x:c r="G608" s="31" t="n">
        <x:v>2.7</x:v>
      </x:c>
      <x:c r="H608" s="11" t="n">
        <x:v>266</x:v>
      </x:c>
      <x:c r="I608" s="11" t="n">
        <x:v>2</x:v>
      </x:c>
      <x:c r="J608" s="11" t="n">
        <x:v>996</x:v>
      </x:c>
      <x:c r="K608" s="9" t="str">
        <x:v>Вт</x:v>
      </x:c>
      <x:c r="L608" s="10" t="n">
        <x:v>58.32</x:v>
      </x:c>
      <x:c r="M608" s="31" t="n">
        <x:v>10949.7</x:v>
      </x:c>
    </x:row>
    <x:row r="609" ht="23" customHeight="1">
      <x:c r="A609" s="12" t="n">
        <x:v>10604</x:v>
      </x:c>
      <x:c r="B609" s="32" t="n">
        <x:v>37.9</x:v>
      </x:c>
      <x:c r="C609" s="32" t="n">
        <x:v>21.1</x:v>
      </x:c>
      <x:c r="D609" s="12" t="n">
        <x:v>2</x:v>
      </x:c>
      <x:c r="E609" s="12" t="n">
        <x:v>14</x:v>
      </x:c>
      <x:c r="F609" s="12" t="n">
        <x:v>1995</x:v>
      </x:c>
      <x:c r="G609" s="32" t="n">
        <x:v>13.9</x:v>
      </x:c>
      <x:c r="H609" s="12" t="n">
        <x:v>1181</x:v>
      </x:c>
      <x:c r="I609" s="12" t="n">
        <x:v>6</x:v>
      </x:c>
      <x:c r="J609" s="12" t="n">
        <x:v>871</x:v>
      </x:c>
      <x:c r="K609" s="3" t="str">
        <x:v>Сб</x:v>
      </x:c>
      <x:c r="L609" s="8" t="n">
        <x:v>62.07</x:v>
      </x:c>
      <x:c r="M609" s="32" t="n">
        <x:v>7844.1</x:v>
      </x:c>
    </x:row>
    <x:row r="610" ht="23" customHeight="1">
      <x:c r="A610" s="11" t="n">
        <x:v>10605</x:v>
      </x:c>
      <x:c r="B610" s="31" t="n">
        <x:v>41.5</x:v>
      </x:c>
      <x:c r="C610" s="31" t="n">
        <x:v>29.3</x:v>
      </x:c>
      <x:c r="D610" s="11" t="n">
        <x:v>2</x:v>
      </x:c>
      <x:c r="E610" s="11" t="n">
        <x:v>24</x:v>
      </x:c>
      <x:c r="F610" s="11" t="n">
        <x:v>2007</x:v>
      </x:c>
      <x:c r="G610" s="31" t="n">
        <x:v>27.9</x:v>
      </x:c>
      <x:c r="H610" s="11" t="n">
        <x:v>2189</x:v>
      </x:c>
      <x:c r="I610" s="11" t="n">
        <x:v>4</x:v>
      </x:c>
      <x:c r="J610" s="11" t="n">
        <x:v>138</x:v>
      </x:c>
      <x:c r="K610" s="9" t="str">
        <x:v>Вс</x:v>
      </x:c>
      <x:c r="L610" s="10" t="n">
        <x:v>43.31</x:v>
      </x:c>
      <x:c r="M610" s="31" t="n">
        <x:v>8353.1</x:v>
      </x:c>
    </x:row>
    <x:row r="611" ht="23" customHeight="1">
      <x:c r="A611" s="12" t="n">
        <x:v>10606</x:v>
      </x:c>
      <x:c r="B611" s="32" t="n">
        <x:v>79.6</x:v>
      </x:c>
      <x:c r="C611" s="32" t="n">
        <x:v>50.7</x:v>
      </x:c>
      <x:c r="D611" s="12" t="n">
        <x:v>3</x:v>
      </x:c>
      <x:c r="E611" s="12" t="n">
        <x:v>6</x:v>
      </x:c>
      <x:c r="F611" s="12" t="n">
        <x:v>1970</x:v>
      </x:c>
      <x:c r="G611" s="32" t="n">
        <x:v>20.7</x:v>
      </x:c>
      <x:c r="H611" s="12" t="n">
        <x:v>1680</x:v>
      </x:c>
      <x:c r="I611" s="12" t="n">
        <x:v>1</x:v>
      </x:c>
      <x:c r="J611" s="12" t="n">
        <x:v>665</x:v>
      </x:c>
      <x:c r="K611" s="3" t="str">
        <x:v>Чт</x:v>
      </x:c>
      <x:c r="L611" s="8" t="n">
        <x:v>57.44</x:v>
      </x:c>
      <x:c r="M611" s="32" t="n">
        <x:v>12998.3</x:v>
      </x:c>
    </x:row>
    <x:row r="612" ht="23" customHeight="1">
      <x:c r="A612" s="11" t="n">
        <x:v>10607</x:v>
      </x:c>
      <x:c r="B612" s="31" t="n">
        <x:v>51.1</x:v>
      </x:c>
      <x:c r="C612" s="31" t="n">
        <x:v>30.4</x:v>
      </x:c>
      <x:c r="D612" s="11" t="n">
        <x:v>2</x:v>
      </x:c>
      <x:c r="E612" s="11" t="n">
        <x:v>21</x:v>
      </x:c>
      <x:c r="F612" s="11" t="n">
        <x:v>1989</x:v>
      </x:c>
      <x:c r="G612" s="31" t="n">
        <x:v>12.3</x:v>
      </x:c>
      <x:c r="H612" s="11" t="n">
        <x:v>1016</x:v>
      </x:c>
      <x:c r="I612" s="11" t="n">
        <x:v>8</x:v>
      </x:c>
      <x:c r="J612" s="11" t="n">
        <x:v>611</x:v>
      </x:c>
      <x:c r="K612" s="9" t="str">
        <x:v>Пт</x:v>
      </x:c>
      <x:c r="L612" s="10" t="n">
        <x:v>78.03</x:v>
      </x:c>
      <x:c r="M612" s="31" t="n">
        <x:v>10264</x:v>
      </x:c>
    </x:row>
    <x:row r="613" ht="23" customHeight="1">
      <x:c r="A613" s="12" t="n">
        <x:v>10608</x:v>
      </x:c>
      <x:c r="B613" s="32" t="n">
        <x:v>68.8</x:v>
      </x:c>
      <x:c r="C613" s="32" t="n">
        <x:v>42.6</x:v>
      </x:c>
      <x:c r="D613" s="12" t="n">
        <x:v>3</x:v>
      </x:c>
      <x:c r="E613" s="12" t="n">
        <x:v>4</x:v>
      </x:c>
      <x:c r="F613" s="12" t="n">
        <x:v>1997</x:v>
      </x:c>
      <x:c r="G613" s="32" t="n">
        <x:v>23.6</x:v>
      </x:c>
      <x:c r="H613" s="12" t="n">
        <x:v>1864</x:v>
      </x:c>
      <x:c r="I613" s="12" t="n">
        <x:v>9</x:v>
      </x:c>
      <x:c r="J613" s="12" t="n">
        <x:v>573</x:v>
      </x:c>
      <x:c r="K613" s="3" t="str">
        <x:v>Чт</x:v>
      </x:c>
      <x:c r="L613" s="8" t="n">
        <x:v>42.99</x:v>
      </x:c>
      <x:c r="M613" s="32" t="n">
        <x:v>12322.4</x:v>
      </x:c>
    </x:row>
    <x:row r="614" ht="23" customHeight="1">
      <x:c r="A614" s="11" t="n">
        <x:v>10609</x:v>
      </x:c>
      <x:c r="B614" s="31" t="n">
        <x:v>84.4</x:v>
      </x:c>
      <x:c r="C614" s="31" t="n">
        <x:v>56.4</x:v>
      </x:c>
      <x:c r="D614" s="11" t="n">
        <x:v>4</x:v>
      </x:c>
      <x:c r="E614" s="11" t="n">
        <x:v>8</x:v>
      </x:c>
      <x:c r="F614" s="11" t="n">
        <x:v>1985</x:v>
      </x:c>
      <x:c r="G614" s="31" t="n">
        <x:v>9.7</x:v>
      </x:c>
      <x:c r="H614" s="11" t="n">
        <x:v>737</x:v>
      </x:c>
      <x:c r="I614" s="11" t="n">
        <x:v>9</x:v>
      </x:c>
      <x:c r="J614" s="11" t="n">
        <x:v>260</x:v>
      </x:c>
      <x:c r="K614" s="9" t="str">
        <x:v>Вс</x:v>
      </x:c>
      <x:c r="L614" s="10" t="n">
        <x:v>70.7</x:v>
      </x:c>
      <x:c r="M614" s="31" t="n">
        <x:v>16535.3</x:v>
      </x:c>
    </x:row>
    <x:row r="615" ht="23" customHeight="1">
      <x:c r="A615" s="12" t="n">
        <x:v>10610</x:v>
      </x:c>
      <x:c r="B615" s="32" t="n">
        <x:v>105.3</x:v>
      </x:c>
      <x:c r="C615" s="32" t="n">
        <x:v>62</x:v>
      </x:c>
      <x:c r="D615" s="12" t="n">
        <x:v>5</x:v>
      </x:c>
      <x:c r="E615" s="12" t="n">
        <x:v>17</x:v>
      </x:c>
      <x:c r="F615" s="12" t="n">
        <x:v>2016</x:v>
      </x:c>
      <x:c r="G615" s="32" t="n">
        <x:v>2.5</x:v>
      </x:c>
      <x:c r="H615" s="12" t="n">
        <x:v>280</x:v>
      </x:c>
      <x:c r="I615" s="12" t="n">
        <x:v>2</x:v>
      </x:c>
      <x:c r="J615" s="12" t="n">
        <x:v>388</x:v>
      </x:c>
      <x:c r="K615" s="3" t="str">
        <x:v>Чт</x:v>
      </x:c>
      <x:c r="L615" s="8" t="n">
        <x:v>63.15</x:v>
      </x:c>
      <x:c r="M615" s="32" t="n">
        <x:v>22397</x:v>
      </x:c>
    </x:row>
    <x:row r="616" ht="23" customHeight="1">
      <x:c r="A616" s="11" t="n">
        <x:v>10611</x:v>
      </x:c>
      <x:c r="B616" s="31" t="n">
        <x:v>32.4</x:v>
      </x:c>
      <x:c r="C616" s="31" t="n">
        <x:v>21</x:v>
      </x:c>
      <x:c r="D616" s="11" t="n">
        <x:v>1</x:v>
      </x:c>
      <x:c r="E616" s="11" t="n">
        <x:v>9</x:v>
      </x:c>
      <x:c r="F616" s="11" t="n">
        <x:v>1986</x:v>
      </x:c>
      <x:c r="G616" s="31" t="n">
        <x:v>27.2</x:v>
      </x:c>
      <x:c r="H616" s="11" t="n">
        <x:v>2187</x:v>
      </x:c>
      <x:c r="I616" s="11" t="n">
        <x:v>9</x:v>
      </x:c>
      <x:c r="J616" s="11" t="n">
        <x:v>299</x:v>
      </x:c>
      <x:c r="K616" s="9" t="str">
        <x:v>Пт</x:v>
      </x:c>
      <x:c r="L616" s="10" t="n">
        <x:v>46.01</x:v>
      </x:c>
      <x:c r="M616" s="31" t="n">
        <x:v>5517.7</x:v>
      </x:c>
    </x:row>
    <x:row r="617" ht="23" customHeight="1">
      <x:c r="A617" s="12" t="n">
        <x:v>10612</x:v>
      </x:c>
      <x:c r="B617" s="32" t="n">
        <x:v>117.5</x:v>
      </x:c>
      <x:c r="C617" s="32" t="n">
        <x:v>74.9</x:v>
      </x:c>
      <x:c r="D617" s="12" t="n">
        <x:v>4</x:v>
      </x:c>
      <x:c r="E617" s="12" t="n">
        <x:v>1</x:v>
      </x:c>
      <x:c r="F617" s="12" t="n">
        <x:v>2009</x:v>
      </x:c>
      <x:c r="G617" s="32" t="n">
        <x:v>22.6</x:v>
      </x:c>
      <x:c r="H617" s="12" t="n">
        <x:v>1840</x:v>
      </x:c>
      <x:c r="I617" s="12" t="n">
        <x:v>7</x:v>
      </x:c>
      <x:c r="J617" s="12" t="n">
        <x:v>887</x:v>
      </x:c>
      <x:c r="K617" s="3" t="str">
        <x:v>Чт</x:v>
      </x:c>
      <x:c r="L617" s="8" t="n">
        <x:v>47.26</x:v>
      </x:c>
      <x:c r="M617" s="32" t="n">
        <x:v>21893.5</x:v>
      </x:c>
    </x:row>
    <x:row r="618" ht="23" customHeight="1">
      <x:c r="A618" s="11" t="n">
        <x:v>10613</x:v>
      </x:c>
      <x:c r="B618" s="31" t="n">
        <x:v>98.3</x:v>
      </x:c>
      <x:c r="C618" s="31" t="n">
        <x:v>65.7</x:v>
      </x:c>
      <x:c r="D618" s="11" t="n">
        <x:v>4</x:v>
      </x:c>
      <x:c r="E618" s="11" t="n">
        <x:v>24</x:v>
      </x:c>
      <x:c r="F618" s="11" t="n">
        <x:v>1997</x:v>
      </x:c>
      <x:c r="G618" s="31" t="n">
        <x:v>27.2</x:v>
      </x:c>
      <x:c r="H618" s="11" t="n">
        <x:v>2135</x:v>
      </x:c>
      <x:c r="I618" s="11" t="n">
        <x:v>5</x:v>
      </x:c>
      <x:c r="J618" s="11" t="n">
        <x:v>627</x:v>
      </x:c>
      <x:c r="K618" s="9" t="str">
        <x:v>Пт</x:v>
      </x:c>
      <x:c r="L618" s="10" t="n">
        <x:v>51.78</x:v>
      </x:c>
      <x:c r="M618" s="31" t="n">
        <x:v>18025.4</x:v>
      </x:c>
    </x:row>
    <x:row r="619" ht="23" customHeight="1">
      <x:c r="A619" s="12" t="n">
        <x:v>10614</x:v>
      </x:c>
      <x:c r="B619" s="32" t="n">
        <x:v>37.2</x:v>
      </x:c>
      <x:c r="C619" s="32" t="n">
        <x:v>27.1</x:v>
      </x:c>
      <x:c r="D619" s="12" t="n">
        <x:v>3</x:v>
      </x:c>
      <x:c r="E619" s="12" t="n">
        <x:v>20</x:v>
      </x:c>
      <x:c r="F619" s="12" t="n">
        <x:v>1981</x:v>
      </x:c>
      <x:c r="G619" s="32" t="n">
        <x:v>3.3</x:v>
      </x:c>
      <x:c r="H619" s="12" t="n">
        <x:v>203</x:v>
      </x:c>
      <x:c r="I619" s="12" t="n">
        <x:v>7</x:v>
      </x:c>
      <x:c r="J619" s="12" t="n">
        <x:v>784</x:v>
      </x:c>
      <x:c r="K619" s="3" t="str">
        <x:v>Вс</x:v>
      </x:c>
      <x:c r="L619" s="8" t="n">
        <x:v>62.3</x:v>
      </x:c>
      <x:c r="M619" s="32" t="n">
        <x:v>8427.9</x:v>
      </x:c>
    </x:row>
    <x:row r="620" ht="23" customHeight="1">
      <x:c r="A620" s="11" t="n">
        <x:v>10615</x:v>
      </x:c>
      <x:c r="B620" s="31" t="n">
        <x:v>125.8</x:v>
      </x:c>
      <x:c r="C620" s="31" t="n">
        <x:v>80</x:v>
      </x:c>
      <x:c r="D620" s="11" t="n">
        <x:v>5</x:v>
      </x:c>
      <x:c r="E620" s="11" t="n">
        <x:v>25</x:v>
      </x:c>
      <x:c r="F620" s="11" t="n">
        <x:v>1996</x:v>
      </x:c>
      <x:c r="G620" s="31" t="n">
        <x:v>29.6</x:v>
      </x:c>
      <x:c r="H620" s="11" t="n">
        <x:v>2340</x:v>
      </x:c>
      <x:c r="I620" s="11" t="n">
        <x:v>9</x:v>
      </x:c>
      <x:c r="J620" s="11" t="n">
        <x:v>602</x:v>
      </x:c>
      <x:c r="K620" s="9" t="str">
        <x:v>Пт</x:v>
      </x:c>
      <x:c r="L620" s="10" t="n">
        <x:v>56.04</x:v>
      </x:c>
      <x:c r="M620" s="31" t="n">
        <x:v>22128.9</x:v>
      </x:c>
    </x:row>
    <x:row r="621" ht="23" customHeight="1">
      <x:c r="A621" s="12" t="n">
        <x:v>10616</x:v>
      </x:c>
      <x:c r="B621" s="32" t="n">
        <x:v>131.1</x:v>
      </x:c>
      <x:c r="C621" s="32" t="n">
        <x:v>86.8</x:v>
      </x:c>
      <x:c r="D621" s="12" t="n">
        <x:v>5</x:v>
      </x:c>
      <x:c r="E621" s="12" t="n">
        <x:v>14</x:v>
      </x:c>
      <x:c r="F621" s="12" t="n">
        <x:v>2023</x:v>
      </x:c>
      <x:c r="G621" s="32" t="n">
        <x:v>22.4</x:v>
      </x:c>
      <x:c r="H621" s="12" t="n">
        <x:v>1786</x:v>
      </x:c>
      <x:c r="I621" s="12" t="n">
        <x:v>8</x:v>
      </x:c>
      <x:c r="J621" s="12" t="n">
        <x:v>347</x:v>
      </x:c>
      <x:c r="K621" s="3" t="str">
        <x:v>Сб</x:v>
      </x:c>
      <x:c r="L621" s="8" t="n">
        <x:v>42.88</x:v>
      </x:c>
      <x:c r="M621" s="32" t="n">
        <x:v>25671</x:v>
      </x:c>
    </x:row>
    <x:row r="622" ht="23" customHeight="1">
      <x:c r="A622" s="11" t="n">
        <x:v>10617</x:v>
      </x:c>
      <x:c r="B622" s="31" t="n">
        <x:v>34.8</x:v>
      </x:c>
      <x:c r="C622" s="31" t="n">
        <x:v>22.9</x:v>
      </x:c>
      <x:c r="D622" s="11" t="n">
        <x:v>2</x:v>
      </x:c>
      <x:c r="E622" s="11" t="n">
        <x:v>11</x:v>
      </x:c>
      <x:c r="F622" s="11" t="n">
        <x:v>2022</x:v>
      </x:c>
      <x:c r="G622" s="31" t="n">
        <x:v>20.6</x:v>
      </x:c>
      <x:c r="H622" s="11" t="n">
        <x:v>1595</x:v>
      </x:c>
      <x:c r="I622" s="11" t="n">
        <x:v>6</x:v>
      </x:c>
      <x:c r="J622" s="11" t="n">
        <x:v>482</x:v>
      </x:c>
      <x:c r="K622" s="9" t="str">
        <x:v>Сб</x:v>
      </x:c>
      <x:c r="L622" s="10" t="n">
        <x:v>18.77</x:v>
      </x:c>
      <x:c r="M622" s="31" t="n">
        <x:v>7072.9</x:v>
      </x:c>
    </x:row>
    <x:row r="623" ht="23" customHeight="1">
      <x:c r="A623" s="12" t="n">
        <x:v>10618</x:v>
      </x:c>
      <x:c r="B623" s="32" t="n">
        <x:v>59</x:v>
      </x:c>
      <x:c r="C623" s="32" t="n">
        <x:v>36.6</x:v>
      </x:c>
      <x:c r="D623" s="12" t="n">
        <x:v>2</x:v>
      </x:c>
      <x:c r="E623" s="12" t="n">
        <x:v>21</x:v>
      </x:c>
      <x:c r="F623" s="12" t="n">
        <x:v>2011</x:v>
      </x:c>
      <x:c r="G623" s="32" t="n">
        <x:v>22.6</x:v>
      </x:c>
      <x:c r="H623" s="12" t="n">
        <x:v>1808</x:v>
      </x:c>
      <x:c r="I623" s="12" t="n">
        <x:v>4</x:v>
      </x:c>
      <x:c r="J623" s="12" t="n">
        <x:v>317</x:v>
      </x:c>
      <x:c r="K623" s="3" t="str">
        <x:v>Пт</x:v>
      </x:c>
      <x:c r="L623" s="8" t="n">
        <x:v>60.08</x:v>
      </x:c>
      <x:c r="M623" s="32" t="n">
        <x:v>11609.4</x:v>
      </x:c>
    </x:row>
    <x:row r="624" ht="23" customHeight="1">
      <x:c r="A624" s="11" t="n">
        <x:v>10619</x:v>
      </x:c>
      <x:c r="B624" s="31" t="n">
        <x:v>118.3</x:v>
      </x:c>
      <x:c r="C624" s="31" t="n">
        <x:v>74.2</x:v>
      </x:c>
      <x:c r="D624" s="11" t="n">
        <x:v>5</x:v>
      </x:c>
      <x:c r="E624" s="11" t="n">
        <x:v>3</x:v>
      </x:c>
      <x:c r="F624" s="11" t="n">
        <x:v>2016</x:v>
      </x:c>
      <x:c r="G624" s="31" t="n">
        <x:v>30.5</x:v>
      </x:c>
      <x:c r="H624" s="11" t="n">
        <x:v>2356</x:v>
      </x:c>
      <x:c r="I624" s="11" t="n">
        <x:v>1</x:v>
      </x:c>
      <x:c r="J624" s="11" t="n">
        <x:v>186</x:v>
      </x:c>
      <x:c r="K624" s="9" t="str">
        <x:v>Вт</x:v>
      </x:c>
      <x:c r="L624" s="10" t="n">
        <x:v>21.01</x:v>
      </x:c>
      <x:c r="M624" s="31" t="n">
        <x:v>21343.3</x:v>
      </x:c>
    </x:row>
    <x:row r="625" ht="23" customHeight="1">
      <x:c r="A625" s="12" t="n">
        <x:v>10620</x:v>
      </x:c>
      <x:c r="B625" s="32" t="n">
        <x:v>111.8</x:v>
      </x:c>
      <x:c r="C625" s="32" t="n">
        <x:v>63.8</x:v>
      </x:c>
      <x:c r="D625" s="12" t="n">
        <x:v>5</x:v>
      </x:c>
      <x:c r="E625" s="12" t="n">
        <x:v>9</x:v>
      </x:c>
      <x:c r="F625" s="12" t="n">
        <x:v>1999</x:v>
      </x:c>
      <x:c r="G625" s="32" t="n">
        <x:v>21.4</x:v>
      </x:c>
      <x:c r="H625" s="12" t="n">
        <x:v>1656</x:v>
      </x:c>
      <x:c r="I625" s="12" t="n">
        <x:v>6</x:v>
      </x:c>
      <x:c r="J625" s="12" t="n">
        <x:v>181</x:v>
      </x:c>
      <x:c r="K625" s="3" t="str">
        <x:v>Ср</x:v>
      </x:c>
      <x:c r="L625" s="8" t="n">
        <x:v>29.51</x:v>
      </x:c>
      <x:c r="M625" s="32" t="n">
        <x:v>20769</x:v>
      </x:c>
    </x:row>
    <x:row r="626" ht="23" customHeight="1">
      <x:c r="A626" s="11" t="n">
        <x:v>10621</x:v>
      </x:c>
      <x:c r="B626" s="31" t="n">
        <x:v>48.7</x:v>
      </x:c>
      <x:c r="C626" s="31" t="n">
        <x:v>31.7</x:v>
      </x:c>
      <x:c r="D626" s="11" t="n">
        <x:v>2</x:v>
      </x:c>
      <x:c r="E626" s="11" t="n">
        <x:v>14</x:v>
      </x:c>
      <x:c r="F626" s="11" t="n">
        <x:v>2010</x:v>
      </x:c>
      <x:c r="G626" s="31" t="n">
        <x:v>21.2</x:v>
      </x:c>
      <x:c r="H626" s="11" t="n">
        <x:v>1730</x:v>
      </x:c>
      <x:c r="I626" s="11" t="n">
        <x:v>3</x:v>
      </x:c>
      <x:c r="J626" s="11" t="n">
        <x:v>161</x:v>
      </x:c>
      <x:c r="K626" s="9" t="str">
        <x:v>Вт</x:v>
      </x:c>
      <x:c r="L626" s="10" t="n">
        <x:v>43.96</x:v>
      </x:c>
      <x:c r="M626" s="31" t="n">
        <x:v>10599.5</x:v>
      </x:c>
    </x:row>
    <x:row r="627" ht="23" customHeight="1">
      <x:c r="A627" s="12" t="n">
        <x:v>10622</x:v>
      </x:c>
      <x:c r="B627" s="32" t="n">
        <x:v>51.4</x:v>
      </x:c>
      <x:c r="C627" s="32" t="n">
        <x:v>32.7</x:v>
      </x:c>
      <x:c r="D627" s="12" t="n">
        <x:v>2</x:v>
      </x:c>
      <x:c r="E627" s="12" t="n">
        <x:v>9</x:v>
      </x:c>
      <x:c r="F627" s="12" t="n">
        <x:v>2003</x:v>
      </x:c>
      <x:c r="G627" s="32" t="n">
        <x:v>34.7</x:v>
      </x:c>
      <x:c r="H627" s="12" t="n">
        <x:v>2806</x:v>
      </x:c>
      <x:c r="I627" s="12" t="n">
        <x:v>6</x:v>
      </x:c>
      <x:c r="J627" s="12" t="n">
        <x:v>898</x:v>
      </x:c>
      <x:c r="K627" s="3" t="str">
        <x:v>Пт</x:v>
      </x:c>
      <x:c r="L627" s="8" t="n">
        <x:v>31.79</x:v>
      </x:c>
      <x:c r="M627" s="32" t="n">
        <x:v>9699</x:v>
      </x:c>
    </x:row>
    <x:row r="628" ht="23" customHeight="1">
      <x:c r="A628" s="11" t="n">
        <x:v>10623</x:v>
      </x:c>
      <x:c r="B628" s="31" t="n">
        <x:v>69.5</x:v>
      </x:c>
      <x:c r="C628" s="31" t="n">
        <x:v>39.7</x:v>
      </x:c>
      <x:c r="D628" s="11" t="n">
        <x:v>2</x:v>
      </x:c>
      <x:c r="E628" s="11" t="n">
        <x:v>4</x:v>
      </x:c>
      <x:c r="F628" s="11" t="n">
        <x:v>2006</x:v>
      </x:c>
      <x:c r="G628" s="31" t="n">
        <x:v>27</x:v>
      </x:c>
      <x:c r="H628" s="11" t="n">
        <x:v>2140</x:v>
      </x:c>
      <x:c r="I628" s="11" t="n">
        <x:v>6</x:v>
      </x:c>
      <x:c r="J628" s="11" t="n">
        <x:v>599</x:v>
      </x:c>
      <x:c r="K628" s="9" t="str">
        <x:v>Ср</x:v>
      </x:c>
      <x:c r="L628" s="10" t="n">
        <x:v>54.76</x:v>
      </x:c>
      <x:c r="M628" s="31" t="n">
        <x:v>12756.2</x:v>
      </x:c>
    </x:row>
    <x:row r="629" ht="23" customHeight="1">
      <x:c r="A629" s="12" t="n">
        <x:v>10624</x:v>
      </x:c>
      <x:c r="B629" s="32" t="n">
        <x:v>82.3</x:v>
      </x:c>
      <x:c r="C629" s="32" t="n">
        <x:v>55.3</x:v>
      </x:c>
      <x:c r="D629" s="12" t="n">
        <x:v>3</x:v>
      </x:c>
      <x:c r="E629" s="12" t="n">
        <x:v>4</x:v>
      </x:c>
      <x:c r="F629" s="12" t="n">
        <x:v>1975</x:v>
      </x:c>
      <x:c r="G629" s="32" t="n">
        <x:v>16.6</x:v>
      </x:c>
      <x:c r="H629" s="12" t="n">
        <x:v>1277</x:v>
      </x:c>
      <x:c r="I629" s="12" t="n">
        <x:v>4</x:v>
      </x:c>
      <x:c r="J629" s="12" t="n">
        <x:v>141</x:v>
      </x:c>
      <x:c r="K629" s="3" t="str">
        <x:v>Сб</x:v>
      </x:c>
      <x:c r="L629" s="8" t="n">
        <x:v>45.56</x:v>
      </x:c>
      <x:c r="M629" s="32" t="n">
        <x:v>14619.4</x:v>
      </x:c>
    </x:row>
    <x:row r="630" ht="23" customHeight="1">
      <x:c r="A630" s="11" t="n">
        <x:v>10625</x:v>
      </x:c>
      <x:c r="B630" s="31" t="n">
        <x:v>97.2</x:v>
      </x:c>
      <x:c r="C630" s="31" t="n">
        <x:v>55.8</x:v>
      </x:c>
      <x:c r="D630" s="11" t="n">
        <x:v>4</x:v>
      </x:c>
      <x:c r="E630" s="11" t="n">
        <x:v>8</x:v>
      </x:c>
      <x:c r="F630" s="11" t="n">
        <x:v>1976</x:v>
      </x:c>
      <x:c r="G630" s="31" t="n">
        <x:v>25.3</x:v>
      </x:c>
      <x:c r="H630" s="11" t="n">
        <x:v>1973</x:v>
      </x:c>
      <x:c r="I630" s="11" t="n">
        <x:v>2</x:v>
      </x:c>
      <x:c r="J630" s="11" t="n">
        <x:v>111</x:v>
      </x:c>
      <x:c r="K630" s="9" t="str">
        <x:v>Ср</x:v>
      </x:c>
      <x:c r="L630" s="10" t="n">
        <x:v>61.78</x:v>
      </x:c>
      <x:c r="M630" s="31" t="n">
        <x:v>16699.7</x:v>
      </x:c>
    </x:row>
    <x:row r="631" ht="23" customHeight="1">
      <x:c r="A631" s="12" t="n">
        <x:v>10626</x:v>
      </x:c>
      <x:c r="B631" s="32" t="n">
        <x:v>69.3</x:v>
      </x:c>
      <x:c r="C631" s="32" t="n">
        <x:v>42.7</x:v>
      </x:c>
      <x:c r="D631" s="12" t="n">
        <x:v>2</x:v>
      </x:c>
      <x:c r="E631" s="12" t="n">
        <x:v>2</x:v>
      </x:c>
      <x:c r="F631" s="12" t="n">
        <x:v>2001</x:v>
      </x:c>
      <x:c r="G631" s="32" t="n">
        <x:v>14.8</x:v>
      </x:c>
      <x:c r="H631" s="12" t="n">
        <x:v>1165</x:v>
      </x:c>
      <x:c r="I631" s="12" t="n">
        <x:v>9</x:v>
      </x:c>
      <x:c r="J631" s="12" t="n">
        <x:v>932</x:v>
      </x:c>
      <x:c r="K631" s="3" t="str">
        <x:v>Пт</x:v>
      </x:c>
      <x:c r="L631" s="8" t="n">
        <x:v>25.88</x:v>
      </x:c>
      <x:c r="M631" s="32" t="n">
        <x:v>13417.5</x:v>
      </x:c>
    </x:row>
    <x:row r="632" ht="23" customHeight="1">
      <x:c r="A632" s="11" t="n">
        <x:v>10627</x:v>
      </x:c>
      <x:c r="B632" s="31" t="n">
        <x:v>79.8</x:v>
      </x:c>
      <x:c r="C632" s="31" t="n">
        <x:v>44.5</x:v>
      </x:c>
      <x:c r="D632" s="11" t="n">
        <x:v>3</x:v>
      </x:c>
      <x:c r="E632" s="11" t="n">
        <x:v>9</x:v>
      </x:c>
      <x:c r="F632" s="11" t="n">
        <x:v>2001</x:v>
      </x:c>
      <x:c r="G632" s="31" t="n">
        <x:v>9.6</x:v>
      </x:c>
      <x:c r="H632" s="11" t="n">
        <x:v>800</x:v>
      </x:c>
      <x:c r="I632" s="11" t="n">
        <x:v>2</x:v>
      </x:c>
      <x:c r="J632" s="11" t="n">
        <x:v>845</x:v>
      </x:c>
      <x:c r="K632" s="9" t="str">
        <x:v>Сб</x:v>
      </x:c>
      <x:c r="L632" s="10" t="n">
        <x:v>40.07</x:v>
      </x:c>
      <x:c r="M632" s="31" t="n">
        <x:v>15595.1</x:v>
      </x:c>
    </x:row>
    <x:row r="633" ht="23" customHeight="1">
      <x:c r="A633" s="12" t="n">
        <x:v>10628</x:v>
      </x:c>
      <x:c r="B633" s="32" t="n">
        <x:v>111.7</x:v>
      </x:c>
      <x:c r="C633" s="32" t="n">
        <x:v>74.6</x:v>
      </x:c>
      <x:c r="D633" s="12" t="n">
        <x:v>4</x:v>
      </x:c>
      <x:c r="E633" s="12" t="n">
        <x:v>14</x:v>
      </x:c>
      <x:c r="F633" s="12" t="n">
        <x:v>2022</x:v>
      </x:c>
      <x:c r="G633" s="32" t="n">
        <x:v>21.7</x:v>
      </x:c>
      <x:c r="H633" s="12" t="n">
        <x:v>1782</x:v>
      </x:c>
      <x:c r="I633" s="12" t="n">
        <x:v>3</x:v>
      </x:c>
      <x:c r="J633" s="12" t="n">
        <x:v>940</x:v>
      </x:c>
      <x:c r="K633" s="3" t="str">
        <x:v>Ср</x:v>
      </x:c>
      <x:c r="L633" s="8" t="n">
        <x:v>50.06</x:v>
      </x:c>
      <x:c r="M633" s="32" t="n">
        <x:v>21562.7</x:v>
      </x:c>
    </x:row>
    <x:row r="634" ht="23" customHeight="1">
      <x:c r="A634" s="11" t="n">
        <x:v>10629</x:v>
      </x:c>
      <x:c r="B634" s="31" t="n">
        <x:v>32.1</x:v>
      </x:c>
      <x:c r="C634" s="31" t="n">
        <x:v>20.6</x:v>
      </x:c>
      <x:c r="D634" s="11" t="n">
        <x:v>1</x:v>
      </x:c>
      <x:c r="E634" s="11" t="n">
        <x:v>22</x:v>
      </x:c>
      <x:c r="F634" s="11" t="n">
        <x:v>1994</x:v>
      </x:c>
      <x:c r="G634" s="31" t="n">
        <x:v>32.6</x:v>
      </x:c>
      <x:c r="H634" s="11" t="n">
        <x:v>2583</x:v>
      </x:c>
      <x:c r="I634" s="11" t="n">
        <x:v>1</x:v>
      </x:c>
      <x:c r="J634" s="11" t="n">
        <x:v>742</x:v>
      </x:c>
      <x:c r="K634" s="9" t="str">
        <x:v>Ср</x:v>
      </x:c>
      <x:c r="L634" s="10" t="n">
        <x:v>50.64</x:v>
      </x:c>
      <x:c r="M634" s="31" t="n">
        <x:v>5875.9</x:v>
      </x:c>
    </x:row>
    <x:row r="635" ht="23" customHeight="1">
      <x:c r="A635" s="12" t="n">
        <x:v>10630</x:v>
      </x:c>
      <x:c r="B635" s="32" t="n">
        <x:v>56.3</x:v>
      </x:c>
      <x:c r="C635" s="32" t="n">
        <x:v>35.8</x:v>
      </x:c>
      <x:c r="D635" s="12" t="n">
        <x:v>1</x:v>
      </x:c>
      <x:c r="E635" s="12" t="n">
        <x:v>9</x:v>
      </x:c>
      <x:c r="F635" s="12" t="n">
        <x:v>2002</x:v>
      </x:c>
      <x:c r="G635" s="32" t="n">
        <x:v>32.7</x:v>
      </x:c>
      <x:c r="H635" s="12" t="n">
        <x:v>2558</x:v>
      </x:c>
      <x:c r="I635" s="12" t="n">
        <x:v>7</x:v>
      </x:c>
      <x:c r="J635" s="12" t="n">
        <x:v>214</x:v>
      </x:c>
      <x:c r="K635" s="3" t="str">
        <x:v>Вт</x:v>
      </x:c>
      <x:c r="L635" s="8" t="n">
        <x:v>60.41</x:v>
      </x:c>
      <x:c r="M635" s="32" t="n">
        <x:v>9756.7</x:v>
      </x:c>
    </x:row>
    <x:row r="636" ht="23" customHeight="1">
      <x:c r="A636" s="11" t="n">
        <x:v>10631</x:v>
      </x:c>
      <x:c r="B636" s="31" t="n">
        <x:v>107.9</x:v>
      </x:c>
      <x:c r="C636" s="31" t="n">
        <x:v>70</x:v>
      </x:c>
      <x:c r="D636" s="11" t="n">
        <x:v>4</x:v>
      </x:c>
      <x:c r="E636" s="11" t="n">
        <x:v>24</x:v>
      </x:c>
      <x:c r="F636" s="11" t="n">
        <x:v>1976</x:v>
      </x:c>
      <x:c r="G636" s="31" t="n">
        <x:v>13.3</x:v>
      </x:c>
      <x:c r="H636" s="11" t="n">
        <x:v>1077</x:v>
      </x:c>
      <x:c r="I636" s="11" t="n">
        <x:v>1</x:v>
      </x:c>
      <x:c r="J636" s="11" t="n">
        <x:v>317</x:v>
      </x:c>
      <x:c r="K636" s="9" t="str">
        <x:v>Ср</x:v>
      </x:c>
      <x:c r="L636" s="10" t="n">
        <x:v>36.28</x:v>
      </x:c>
      <x:c r="M636" s="31" t="n">
        <x:v>20055</x:v>
      </x:c>
    </x:row>
    <x:row r="637" ht="23" customHeight="1">
      <x:c r="A637" s="12" t="n">
        <x:v>10632</x:v>
      </x:c>
      <x:c r="B637" s="32" t="n">
        <x:v>128.3</x:v>
      </x:c>
      <x:c r="C637" s="32" t="n">
        <x:v>78.5</x:v>
      </x:c>
      <x:c r="D637" s="12" t="n">
        <x:v>5</x:v>
      </x:c>
      <x:c r="E637" s="12" t="n">
        <x:v>23</x:v>
      </x:c>
      <x:c r="F637" s="12" t="n">
        <x:v>2021</x:v>
      </x:c>
      <x:c r="G637" s="32" t="n">
        <x:v>19.4</x:v>
      </x:c>
      <x:c r="H637" s="12" t="n">
        <x:v>1511</x:v>
      </x:c>
      <x:c r="I637" s="12" t="n">
        <x:v>9</x:v>
      </x:c>
      <x:c r="J637" s="12" t="n">
        <x:v>748</x:v>
      </x:c>
      <x:c r="K637" s="3" t="str">
        <x:v>Вс</x:v>
      </x:c>
      <x:c r="L637" s="8" t="n">
        <x:v>42.98</x:v>
      </x:c>
      <x:c r="M637" s="32" t="n">
        <x:v>24023.5</x:v>
      </x:c>
    </x:row>
    <x:row r="638" ht="23" customHeight="1">
      <x:c r="A638" s="11" t="n">
        <x:v>10633</x:v>
      </x:c>
      <x:c r="B638" s="31" t="n">
        <x:v>85.3</x:v>
      </x:c>
      <x:c r="C638" s="31" t="n">
        <x:v>58.3</x:v>
      </x:c>
      <x:c r="D638" s="11" t="n">
        <x:v>2</x:v>
      </x:c>
      <x:c r="E638" s="11" t="n">
        <x:v>16</x:v>
      </x:c>
      <x:c r="F638" s="11" t="n">
        <x:v>1981</x:v>
      </x:c>
      <x:c r="G638" s="31" t="n">
        <x:v>9</x:v>
      </x:c>
      <x:c r="H638" s="11" t="n">
        <x:v>694</x:v>
      </x:c>
      <x:c r="I638" s="11" t="n">
        <x:v>1</x:v>
      </x:c>
      <x:c r="J638" s="11" t="n">
        <x:v>205</x:v>
      </x:c>
      <x:c r="K638" s="9" t="str">
        <x:v>Пт</x:v>
      </x:c>
      <x:c r="L638" s="10" t="n">
        <x:v>57.61</x:v>
      </x:c>
      <x:c r="M638" s="31" t="n">
        <x:v>16395.8</x:v>
      </x:c>
    </x:row>
    <x:row r="639" ht="23" customHeight="1">
      <x:c r="A639" s="12" t="n">
        <x:v>10634</x:v>
      </x:c>
      <x:c r="B639" s="32" t="n">
        <x:v>87.6</x:v>
      </x:c>
      <x:c r="C639" s="32" t="n">
        <x:v>53</x:v>
      </x:c>
      <x:c r="D639" s="12" t="n">
        <x:v>4</x:v>
      </x:c>
      <x:c r="E639" s="12" t="n">
        <x:v>17</x:v>
      </x:c>
      <x:c r="F639" s="12" t="n">
        <x:v>1985</x:v>
      </x:c>
      <x:c r="G639" s="32" t="n">
        <x:v>34.9</x:v>
      </x:c>
      <x:c r="H639" s="12" t="n">
        <x:v>2858</x:v>
      </x:c>
      <x:c r="I639" s="12" t="n">
        <x:v>5</x:v>
      </x:c>
      <x:c r="J639" s="12" t="n">
        <x:v>790</x:v>
      </x:c>
      <x:c r="K639" s="3" t="str">
        <x:v>Пн</x:v>
      </x:c>
      <x:c r="L639" s="8" t="n">
        <x:v>17.02</x:v>
      </x:c>
      <x:c r="M639" s="32" t="n">
        <x:v>14347.9</x:v>
      </x:c>
    </x:row>
    <x:row r="640" ht="23" customHeight="1">
      <x:c r="A640" s="11" t="n">
        <x:v>10635</x:v>
      </x:c>
      <x:c r="B640" s="31" t="n">
        <x:v>40</x:v>
      </x:c>
      <x:c r="C640" s="31" t="n">
        <x:v>26.8</x:v>
      </x:c>
      <x:c r="D640" s="11" t="n">
        <x:v>2</x:v>
      </x:c>
      <x:c r="E640" s="11" t="n">
        <x:v>16</x:v>
      </x:c>
      <x:c r="F640" s="11" t="n">
        <x:v>1985</x:v>
      </x:c>
      <x:c r="G640" s="31" t="n">
        <x:v>34.4</x:v>
      </x:c>
      <x:c r="H640" s="11" t="n">
        <x:v>2793</x:v>
      </x:c>
      <x:c r="I640" s="11" t="n">
        <x:v>7</x:v>
      </x:c>
      <x:c r="J640" s="11" t="n">
        <x:v>627</x:v>
      </x:c>
      <x:c r="K640" s="9" t="str">
        <x:v>Пн</x:v>
      </x:c>
      <x:c r="L640" s="10" t="n">
        <x:v>55.77</x:v>
      </x:c>
      <x:c r="M640" s="31" t="n">
        <x:v>5653.2</x:v>
      </x:c>
    </x:row>
    <x:row r="641" ht="23" customHeight="1">
      <x:c r="A641" s="12" t="n">
        <x:v>10636</x:v>
      </x:c>
      <x:c r="B641" s="32" t="n">
        <x:v>78.1</x:v>
      </x:c>
      <x:c r="C641" s="32" t="n">
        <x:v>51.6</x:v>
      </x:c>
      <x:c r="D641" s="12" t="n">
        <x:v>3</x:v>
      </x:c>
      <x:c r="E641" s="12" t="n">
        <x:v>12</x:v>
      </x:c>
      <x:c r="F641" s="12" t="n">
        <x:v>2012</x:v>
      </x:c>
      <x:c r="G641" s="32" t="n">
        <x:v>23.4</x:v>
      </x:c>
      <x:c r="H641" s="12" t="n">
        <x:v>1880</x:v>
      </x:c>
      <x:c r="I641" s="12" t="n">
        <x:v>3</x:v>
      </x:c>
      <x:c r="J641" s="12" t="n">
        <x:v>571</x:v>
      </x:c>
      <x:c r="K641" s="3" t="str">
        <x:v>Пн</x:v>
      </x:c>
      <x:c r="L641" s="8" t="n">
        <x:v>61.46</x:v>
      </x:c>
      <x:c r="M641" s="32" t="n">
        <x:v>15370.2</x:v>
      </x:c>
    </x:row>
    <x:row r="642" ht="23" customHeight="1">
      <x:c r="A642" s="11" t="n">
        <x:v>10637</x:v>
      </x:c>
      <x:c r="B642" s="31" t="n">
        <x:v>87.7</x:v>
      </x:c>
      <x:c r="C642" s="31" t="n">
        <x:v>54</x:v>
      </x:c>
      <x:c r="D642" s="11" t="n">
        <x:v>4</x:v>
      </x:c>
      <x:c r="E642" s="11" t="n">
        <x:v>3</x:v>
      </x:c>
      <x:c r="F642" s="11" t="n">
        <x:v>2022</x:v>
      </x:c>
      <x:c r="G642" s="31" t="n">
        <x:v>28.5</x:v>
      </x:c>
      <x:c r="H642" s="11" t="n">
        <x:v>2216</x:v>
      </x:c>
      <x:c r="I642" s="11" t="n">
        <x:v>9</x:v>
      </x:c>
      <x:c r="J642" s="11" t="n">
        <x:v>853</x:v>
      </x:c>
      <x:c r="K642" s="9" t="str">
        <x:v>Пт</x:v>
      </x:c>
      <x:c r="L642" s="10" t="n">
        <x:v>30</x:v>
      </x:c>
      <x:c r="M642" s="31" t="n">
        <x:v>17370.5</x:v>
      </x:c>
    </x:row>
    <x:row r="643" ht="23" customHeight="1">
      <x:c r="A643" s="12" t="n">
        <x:v>10638</x:v>
      </x:c>
      <x:c r="B643" s="32" t="n">
        <x:v>55.2</x:v>
      </x:c>
      <x:c r="C643" s="32" t="n">
        <x:v>30.8</x:v>
      </x:c>
      <x:c r="D643" s="12" t="n">
        <x:v>2</x:v>
      </x:c>
      <x:c r="E643" s="12" t="n">
        <x:v>11</x:v>
      </x:c>
      <x:c r="F643" s="12" t="n">
        <x:v>2005</x:v>
      </x:c>
      <x:c r="G643" s="32" t="n">
        <x:v>25.6</x:v>
      </x:c>
      <x:c r="H643" s="12" t="n">
        <x:v>2059</x:v>
      </x:c>
      <x:c r="I643" s="12" t="n">
        <x:v>8</x:v>
      </x:c>
      <x:c r="J643" s="12" t="n">
        <x:v>945</x:v>
      </x:c>
      <x:c r="K643" s="3" t="str">
        <x:v>Пн</x:v>
      </x:c>
      <x:c r="L643" s="8" t="n">
        <x:v>45.27</x:v>
      </x:c>
      <x:c r="M643" s="32" t="n">
        <x:v>10968.5</x:v>
      </x:c>
    </x:row>
    <x:row r="644" ht="23" customHeight="1">
      <x:c r="A644" s="11" t="n">
        <x:v>10639</x:v>
      </x:c>
      <x:c r="B644" s="31" t="n">
        <x:v>58.2</x:v>
      </x:c>
      <x:c r="C644" s="31" t="n">
        <x:v>36.7</x:v>
      </x:c>
      <x:c r="D644" s="11" t="n">
        <x:v>2</x:v>
      </x:c>
      <x:c r="E644" s="11" t="n">
        <x:v>14</x:v>
      </x:c>
      <x:c r="F644" s="11" t="n">
        <x:v>1982</x:v>
      </x:c>
      <x:c r="G644" s="31" t="n">
        <x:v>21.6</x:v>
      </x:c>
      <x:c r="H644" s="11" t="n">
        <x:v>1781</x:v>
      </x:c>
      <x:c r="I644" s="11" t="n">
        <x:v>3</x:v>
      </x:c>
      <x:c r="J644" s="11" t="n">
        <x:v>992</x:v>
      </x:c>
      <x:c r="K644" s="9" t="str">
        <x:v>Вт</x:v>
      </x:c>
      <x:c r="L644" s="10" t="n">
        <x:v>72.39</x:v>
      </x:c>
      <x:c r="M644" s="31" t="n">
        <x:v>10927.2</x:v>
      </x:c>
    </x:row>
    <x:row r="645" ht="23" customHeight="1">
      <x:c r="A645" s="12" t="n">
        <x:v>10640</x:v>
      </x:c>
      <x:c r="B645" s="32" t="n">
        <x:v>70.3</x:v>
      </x:c>
      <x:c r="C645" s="32" t="n">
        <x:v>46.1</x:v>
      </x:c>
      <x:c r="D645" s="12" t="n">
        <x:v>3</x:v>
      </x:c>
      <x:c r="E645" s="12" t="n">
        <x:v>18</x:v>
      </x:c>
      <x:c r="F645" s="12" t="n">
        <x:v>1976</x:v>
      </x:c>
      <x:c r="G645" s="32" t="n">
        <x:v>3.8</x:v>
      </x:c>
      <x:c r="H645" s="12" t="n">
        <x:v>285</x:v>
      </x:c>
      <x:c r="I645" s="12" t="n">
        <x:v>5</x:v>
      </x:c>
      <x:c r="J645" s="12" t="n">
        <x:v>486</x:v>
      </x:c>
      <x:c r="K645" s="3" t="str">
        <x:v>Пт</x:v>
      </x:c>
      <x:c r="L645" s="8" t="n">
        <x:v>59.9</x:v>
      </x:c>
      <x:c r="M645" s="32" t="n">
        <x:v>14392.1</x:v>
      </x:c>
    </x:row>
    <x:row r="646" ht="23" customHeight="1">
      <x:c r="A646" s="11" t="n">
        <x:v>10641</x:v>
      </x:c>
      <x:c r="B646" s="31" t="n">
        <x:v>30.2</x:v>
      </x:c>
      <x:c r="C646" s="31" t="n">
        <x:v>17.6</x:v>
      </x:c>
      <x:c r="D646" s="11" t="n">
        <x:v>1</x:v>
      </x:c>
      <x:c r="E646" s="11" t="n">
        <x:v>21</x:v>
      </x:c>
      <x:c r="F646" s="11" t="n">
        <x:v>2005</x:v>
      </x:c>
      <x:c r="G646" s="31" t="n">
        <x:v>17</x:v>
      </x:c>
      <x:c r="H646" s="11" t="n">
        <x:v>1428</x:v>
      </x:c>
      <x:c r="I646" s="11" t="n">
        <x:v>7</x:v>
      </x:c>
      <x:c r="J646" s="11" t="n">
        <x:v>325</x:v>
      </x:c>
      <x:c r="K646" s="9" t="str">
        <x:v>Вс</x:v>
      </x:c>
      <x:c r="L646" s="10" t="n">
        <x:v>56.7</x:v>
      </x:c>
      <x:c r="M646" s="31" t="n">
        <x:v>7455.9</x:v>
      </x:c>
    </x:row>
    <x:row r="647" ht="23" customHeight="1">
      <x:c r="A647" s="12" t="n">
        <x:v>10642</x:v>
      </x:c>
      <x:c r="B647" s="32" t="n">
        <x:v>64.1</x:v>
      </x:c>
      <x:c r="C647" s="32" t="n">
        <x:v>34.3</x:v>
      </x:c>
      <x:c r="D647" s="12" t="n">
        <x:v>3</x:v>
      </x:c>
      <x:c r="E647" s="12" t="n">
        <x:v>21</x:v>
      </x:c>
      <x:c r="F647" s="12" t="n">
        <x:v>2016</x:v>
      </x:c>
      <x:c r="G647" s="32" t="n">
        <x:v>24.3</x:v>
      </x:c>
      <x:c r="H647" s="12" t="n">
        <x:v>2009</x:v>
      </x:c>
      <x:c r="I647" s="12" t="n">
        <x:v>4</x:v>
      </x:c>
      <x:c r="J647" s="12" t="n">
        <x:v>580</x:v>
      </x:c>
      <x:c r="K647" s="3" t="str">
        <x:v>Сб</x:v>
      </x:c>
      <x:c r="L647" s="8" t="n">
        <x:v>64.86</x:v>
      </x:c>
      <x:c r="M647" s="32" t="n">
        <x:v>12089.3</x:v>
      </x:c>
    </x:row>
    <x:row r="648" ht="23" customHeight="1">
      <x:c r="A648" s="11" t="n">
        <x:v>10643</x:v>
      </x:c>
      <x:c r="B648" s="31" t="n">
        <x:v>51.7</x:v>
      </x:c>
      <x:c r="C648" s="31" t="n">
        <x:v>30.2</x:v>
      </x:c>
      <x:c r="D648" s="11" t="n">
        <x:v>2</x:v>
      </x:c>
      <x:c r="E648" s="11" t="n">
        <x:v>5</x:v>
      </x:c>
      <x:c r="F648" s="11" t="n">
        <x:v>2020</x:v>
      </x:c>
      <x:c r="G648" s="31" t="n">
        <x:v>24.4</x:v>
      </x:c>
      <x:c r="H648" s="11" t="n">
        <x:v>2035</x:v>
      </x:c>
      <x:c r="I648" s="11" t="n">
        <x:v>5</x:v>
      </x:c>
      <x:c r="J648" s="11" t="n">
        <x:v>853</x:v>
      </x:c>
      <x:c r="K648" s="9" t="str">
        <x:v>Вс</x:v>
      </x:c>
      <x:c r="L648" s="10" t="n">
        <x:v>77.07</x:v>
      </x:c>
      <x:c r="M648" s="31" t="n">
        <x:v>10521.9</x:v>
      </x:c>
    </x:row>
    <x:row r="649" ht="23" customHeight="1">
      <x:c r="A649" s="12" t="n">
        <x:v>10644</x:v>
      </x:c>
      <x:c r="B649" s="32" t="n">
        <x:v>64.7</x:v>
      </x:c>
      <x:c r="C649" s="32" t="n">
        <x:v>40.3</x:v>
      </x:c>
      <x:c r="D649" s="12" t="n">
        <x:v>2</x:v>
      </x:c>
      <x:c r="E649" s="12" t="n">
        <x:v>16</x:v>
      </x:c>
      <x:c r="F649" s="12" t="n">
        <x:v>1978</x:v>
      </x:c>
      <x:c r="G649" s="32" t="n">
        <x:v>14.3</x:v>
      </x:c>
      <x:c r="H649" s="12" t="n">
        <x:v>1159</x:v>
      </x:c>
      <x:c r="I649" s="12" t="n">
        <x:v>3</x:v>
      </x:c>
      <x:c r="J649" s="12" t="n">
        <x:v>507</x:v>
      </x:c>
      <x:c r="K649" s="3" t="str">
        <x:v>Пт</x:v>
      </x:c>
      <x:c r="L649" s="8" t="n">
        <x:v>50.28</x:v>
      </x:c>
      <x:c r="M649" s="32" t="n">
        <x:v>12372.9</x:v>
      </x:c>
    </x:row>
    <x:row r="650" ht="23" customHeight="1">
      <x:c r="A650" s="11" t="n">
        <x:v>10645</x:v>
      </x:c>
      <x:c r="B650" s="31" t="n">
        <x:v>41.4</x:v>
      </x:c>
      <x:c r="C650" s="31" t="n">
        <x:v>25.2</x:v>
      </x:c>
      <x:c r="D650" s="11" t="n">
        <x:v>2</x:v>
      </x:c>
      <x:c r="E650" s="11" t="n">
        <x:v>20</x:v>
      </x:c>
      <x:c r="F650" s="11" t="n">
        <x:v>2001</x:v>
      </x:c>
      <x:c r="G650" s="31" t="n">
        <x:v>33.1</x:v>
      </x:c>
      <x:c r="H650" s="11" t="n">
        <x:v>2677</x:v>
      </x:c>
      <x:c r="I650" s="11" t="n">
        <x:v>9</x:v>
      </x:c>
      <x:c r="J650" s="11" t="n">
        <x:v>556</x:v>
      </x:c>
      <x:c r="K650" s="9" t="str">
        <x:v>Пт</x:v>
      </x:c>
      <x:c r="L650" s="10" t="n">
        <x:v>43.89</x:v>
      </x:c>
      <x:c r="M650" s="31" t="n">
        <x:v>7634.6</x:v>
      </x:c>
    </x:row>
    <x:row r="651" ht="23" customHeight="1">
      <x:c r="A651" s="12" t="n">
        <x:v>10646</x:v>
      </x:c>
      <x:c r="B651" s="32" t="n">
        <x:v>127.7</x:v>
      </x:c>
      <x:c r="C651" s="32" t="n">
        <x:v>83.2</x:v>
      </x:c>
      <x:c r="D651" s="12" t="n">
        <x:v>4</x:v>
      </x:c>
      <x:c r="E651" s="12" t="n">
        <x:v>5</x:v>
      </x:c>
      <x:c r="F651" s="12" t="n">
        <x:v>1980</x:v>
      </x:c>
      <x:c r="G651" s="32" t="n">
        <x:v>7.5</x:v>
      </x:c>
      <x:c r="H651" s="12" t="n">
        <x:v>671</x:v>
      </x:c>
      <x:c r="I651" s="12" t="n">
        <x:v>9</x:v>
      </x:c>
      <x:c r="J651" s="12" t="n">
        <x:v>752</x:v>
      </x:c>
      <x:c r="K651" s="3" t="str">
        <x:v>Ср</x:v>
      </x:c>
      <x:c r="L651" s="8" t="n">
        <x:v>64.83</x:v>
      </x:c>
      <x:c r="M651" s="32" t="n">
        <x:v>24257.3</x:v>
      </x:c>
    </x:row>
    <x:row r="652" ht="23" customHeight="1">
      <x:c r="A652" s="11" t="n">
        <x:v>10647</x:v>
      </x:c>
      <x:c r="B652" s="31" t="n">
        <x:v>94.5</x:v>
      </x:c>
      <x:c r="C652" s="31" t="n">
        <x:v>66.6</x:v>
      </x:c>
      <x:c r="D652" s="11" t="n">
        <x:v>4</x:v>
      </x:c>
      <x:c r="E652" s="11" t="n">
        <x:v>3</x:v>
      </x:c>
      <x:c r="F652" s="11" t="n">
        <x:v>1977</x:v>
      </x:c>
      <x:c r="G652" s="31" t="n">
        <x:v>18.5</x:v>
      </x:c>
      <x:c r="H652" s="11" t="n">
        <x:v>1502</x:v>
      </x:c>
      <x:c r="I652" s="11" t="n">
        <x:v>7</x:v>
      </x:c>
      <x:c r="J652" s="11" t="n">
        <x:v>997</x:v>
      </x:c>
      <x:c r="K652" s="9" t="str">
        <x:v>Ср</x:v>
      </x:c>
      <x:c r="L652" s="10" t="n">
        <x:v>47.19</x:v>
      </x:c>
      <x:c r="M652" s="31" t="n">
        <x:v>16190.4</x:v>
      </x:c>
    </x:row>
    <x:row r="653" ht="23" customHeight="1">
      <x:c r="A653" s="12" t="n">
        <x:v>10648</x:v>
      </x:c>
      <x:c r="B653" s="32" t="n">
        <x:v>104.1</x:v>
      </x:c>
      <x:c r="C653" s="32" t="n">
        <x:v>62.7</x:v>
      </x:c>
      <x:c r="D653" s="12" t="n">
        <x:v>4</x:v>
      </x:c>
      <x:c r="E653" s="12" t="n">
        <x:v>12</x:v>
      </x:c>
      <x:c r="F653" s="12" t="n">
        <x:v>2002</x:v>
      </x:c>
      <x:c r="G653" s="32" t="n">
        <x:v>24.8</x:v>
      </x:c>
      <x:c r="H653" s="12" t="n">
        <x:v>1959</x:v>
      </x:c>
      <x:c r="I653" s="12" t="n">
        <x:v>2</x:v>
      </x:c>
      <x:c r="J653" s="12" t="n">
        <x:v>810</x:v>
      </x:c>
      <x:c r="K653" s="3" t="str">
        <x:v>Ср</x:v>
      </x:c>
      <x:c r="L653" s="8" t="n">
        <x:v>36.08</x:v>
      </x:c>
      <x:c r="M653" s="32" t="n">
        <x:v>19314.8</x:v>
      </x:c>
    </x:row>
    <x:row r="654" ht="23" customHeight="1">
      <x:c r="A654" s="11" t="n">
        <x:v>10649</x:v>
      </x:c>
      <x:c r="B654" s="31" t="n">
        <x:v>116.4</x:v>
      </x:c>
      <x:c r="C654" s="31" t="n">
        <x:v>68.9</x:v>
      </x:c>
      <x:c r="D654" s="11" t="n">
        <x:v>4</x:v>
      </x:c>
      <x:c r="E654" s="11" t="n">
        <x:v>1</x:v>
      </x:c>
      <x:c r="F654" s="11" t="n">
        <x:v>1992</x:v>
      </x:c>
      <x:c r="G654" s="31" t="n">
        <x:v>25</x:v>
      </x:c>
      <x:c r="H654" s="11" t="n">
        <x:v>1978</x:v>
      </x:c>
      <x:c r="I654" s="11" t="n">
        <x:v>7</x:v>
      </x:c>
      <x:c r="J654" s="11" t="n">
        <x:v>723</x:v>
      </x:c>
      <x:c r="K654" s="9" t="str">
        <x:v>Чт</x:v>
      </x:c>
      <x:c r="L654" s="10" t="n">
        <x:v>41.9</x:v>
      </x:c>
      <x:c r="M654" s="31" t="n">
        <x:v>20025.7</x:v>
      </x:c>
    </x:row>
    <x:row r="655" ht="23" customHeight="1">
      <x:c r="A655" s="12" t="n">
        <x:v>10650</x:v>
      </x:c>
      <x:c r="B655" s="32" t="n">
        <x:v>83.8</x:v>
      </x:c>
      <x:c r="C655" s="32" t="n">
        <x:v>53.8</x:v>
      </x:c>
      <x:c r="D655" s="12" t="n">
        <x:v>4</x:v>
      </x:c>
      <x:c r="E655" s="12" t="n">
        <x:v>21</x:v>
      </x:c>
      <x:c r="F655" s="12" t="n">
        <x:v>1994</x:v>
      </x:c>
      <x:c r="G655" s="32" t="n">
        <x:v>23.4</x:v>
      </x:c>
      <x:c r="H655" s="12" t="n">
        <x:v>1884</x:v>
      </x:c>
      <x:c r="I655" s="12" t="n">
        <x:v>7</x:v>
      </x:c>
      <x:c r="J655" s="12" t="n">
        <x:v>738</x:v>
      </x:c>
      <x:c r="K655" s="3" t="str">
        <x:v>Вт</x:v>
      </x:c>
      <x:c r="L655" s="8" t="n">
        <x:v>54.68</x:v>
      </x:c>
      <x:c r="M655" s="32" t="n">
        <x:v>15346.7</x:v>
      </x:c>
    </x:row>
    <x:row r="656" ht="23" customHeight="1">
      <x:c r="A656" s="11" t="n">
        <x:v>10651</x:v>
      </x:c>
      <x:c r="B656" s="31" t="n">
        <x:v>37.7</x:v>
      </x:c>
      <x:c r="C656" s="31" t="n">
        <x:v>20.3</x:v>
      </x:c>
      <x:c r="D656" s="11" t="n">
        <x:v>2</x:v>
      </x:c>
      <x:c r="E656" s="11" t="n">
        <x:v>9</x:v>
      </x:c>
      <x:c r="F656" s="11" t="n">
        <x:v>1977</x:v>
      </x:c>
      <x:c r="G656" s="31" t="n">
        <x:v>11.1</x:v>
      </x:c>
      <x:c r="H656" s="11" t="n">
        <x:v>823</x:v>
      </x:c>
      <x:c r="I656" s="11" t="n">
        <x:v>5</x:v>
      </x:c>
      <x:c r="J656" s="11" t="n">
        <x:v>120</x:v>
      </x:c>
      <x:c r="K656" s="9" t="str">
        <x:v>Пт</x:v>
      </x:c>
      <x:c r="L656" s="10" t="n">
        <x:v>43.26</x:v>
      </x:c>
      <x:c r="M656" s="31" t="n">
        <x:v>7510.1</x:v>
      </x:c>
    </x:row>
    <x:row r="657" ht="23" customHeight="1">
      <x:c r="A657" s="12" t="n">
        <x:v>10652</x:v>
      </x:c>
      <x:c r="B657" s="32" t="n">
        <x:v>88.2</x:v>
      </x:c>
      <x:c r="C657" s="32" t="n">
        <x:v>62.7</x:v>
      </x:c>
      <x:c r="D657" s="12" t="n">
        <x:v>4</x:v>
      </x:c>
      <x:c r="E657" s="12" t="n">
        <x:v>9</x:v>
      </x:c>
      <x:c r="F657" s="12" t="n">
        <x:v>2014</x:v>
      </x:c>
      <x:c r="G657" s="32" t="n">
        <x:v>7.2</x:v>
      </x:c>
      <x:c r="H657" s="12" t="n">
        <x:v>569</x:v>
      </x:c>
      <x:c r="I657" s="12" t="n">
        <x:v>9</x:v>
      </x:c>
      <x:c r="J657" s="12" t="n">
        <x:v>758</x:v>
      </x:c>
      <x:c r="K657" s="3" t="str">
        <x:v>Вс</x:v>
      </x:c>
      <x:c r="L657" s="8" t="n">
        <x:v>44.38</x:v>
      </x:c>
      <x:c r="M657" s="32" t="n">
        <x:v>18799.2</x:v>
      </x:c>
    </x:row>
    <x:row r="658" ht="23" customHeight="1">
      <x:c r="A658" s="11" t="n">
        <x:v>10653</x:v>
      </x:c>
      <x:c r="B658" s="31" t="n">
        <x:v>93.7</x:v>
      </x:c>
      <x:c r="C658" s="31" t="n">
        <x:v>57</x:v>
      </x:c>
      <x:c r="D658" s="11" t="n">
        <x:v>3</x:v>
      </x:c>
      <x:c r="E658" s="11" t="n">
        <x:v>4</x:v>
      </x:c>
      <x:c r="F658" s="11" t="n">
        <x:v>1991</x:v>
      </x:c>
      <x:c r="G658" s="31" t="n">
        <x:v>23</x:v>
      </x:c>
      <x:c r="H658" s="11" t="n">
        <x:v>1895</x:v>
      </x:c>
      <x:c r="I658" s="11" t="n">
        <x:v>3</x:v>
      </x:c>
      <x:c r="J658" s="11" t="n">
        <x:v>700</x:v>
      </x:c>
      <x:c r="K658" s="9" t="str">
        <x:v>Пт</x:v>
      </x:c>
      <x:c r="L658" s="10" t="n">
        <x:v>34.59</x:v>
      </x:c>
      <x:c r="M658" s="31" t="n">
        <x:v>17072.7</x:v>
      </x:c>
    </x:row>
    <x:row r="659" ht="23" customHeight="1">
      <x:c r="A659" s="12" t="n">
        <x:v>10654</x:v>
      </x:c>
      <x:c r="B659" s="32" t="n">
        <x:v>111.5</x:v>
      </x:c>
      <x:c r="C659" s="32" t="n">
        <x:v>67.8</x:v>
      </x:c>
      <x:c r="D659" s="12" t="n">
        <x:v>4</x:v>
      </x:c>
      <x:c r="E659" s="12" t="n">
        <x:v>3</x:v>
      </x:c>
      <x:c r="F659" s="12" t="n">
        <x:v>1973</x:v>
      </x:c>
      <x:c r="G659" s="32" t="n">
        <x:v>21.8</x:v>
      </x:c>
      <x:c r="H659" s="12" t="n">
        <x:v>1634</x:v>
      </x:c>
      <x:c r="I659" s="12" t="n">
        <x:v>4</x:v>
      </x:c>
      <x:c r="J659" s="12" t="n">
        <x:v>914</x:v>
      </x:c>
      <x:c r="K659" s="3" t="str">
        <x:v>Ср</x:v>
      </x:c>
      <x:c r="L659" s="8" t="n">
        <x:v>71.53</x:v>
      </x:c>
      <x:c r="M659" s="32" t="n">
        <x:v>19190.6</x:v>
      </x:c>
    </x:row>
    <x:row r="660" ht="23" customHeight="1">
      <x:c r="A660" s="11" t="n">
        <x:v>10655</x:v>
      </x:c>
      <x:c r="B660" s="31" t="n">
        <x:v>76.3</x:v>
      </x:c>
      <x:c r="C660" s="31" t="n">
        <x:v>51.1</x:v>
      </x:c>
      <x:c r="D660" s="11" t="n">
        <x:v>4</x:v>
      </x:c>
      <x:c r="E660" s="11" t="n">
        <x:v>17</x:v>
      </x:c>
      <x:c r="F660" s="11" t="n">
        <x:v>2009</x:v>
      </x:c>
      <x:c r="G660" s="31" t="n">
        <x:v>7.9</x:v>
      </x:c>
      <x:c r="H660" s="11" t="n">
        <x:v>709</x:v>
      </x:c>
      <x:c r="I660" s="11" t="n">
        <x:v>1</x:v>
      </x:c>
      <x:c r="J660" s="11" t="n">
        <x:v>302</x:v>
      </x:c>
      <x:c r="K660" s="9" t="str">
        <x:v>Пт</x:v>
      </x:c>
      <x:c r="L660" s="10" t="n">
        <x:v>44.86</x:v>
      </x:c>
      <x:c r="M660" s="31" t="n">
        <x:v>15228.6</x:v>
      </x:c>
    </x:row>
    <x:row r="661" ht="23" customHeight="1">
      <x:c r="A661" s="12" t="n">
        <x:v>10656</x:v>
      </x:c>
      <x:c r="B661" s="32" t="n">
        <x:v>42.3</x:v>
      </x:c>
      <x:c r="C661" s="32" t="n">
        <x:v>28</x:v>
      </x:c>
      <x:c r="D661" s="12" t="n">
        <x:v>2</x:v>
      </x:c>
      <x:c r="E661" s="12" t="n">
        <x:v>2</x:v>
      </x:c>
      <x:c r="F661" s="12" t="n">
        <x:v>1972</x:v>
      </x:c>
      <x:c r="G661" s="32" t="n">
        <x:v>25.3</x:v>
      </x:c>
      <x:c r="H661" s="12" t="n">
        <x:v>2080</x:v>
      </x:c>
      <x:c r="I661" s="12" t="n">
        <x:v>6</x:v>
      </x:c>
      <x:c r="J661" s="12" t="n">
        <x:v>516</x:v>
      </x:c>
      <x:c r="K661" s="3" t="str">
        <x:v>Сб</x:v>
      </x:c>
      <x:c r="L661" s="8" t="n">
        <x:v>39.33</x:v>
      </x:c>
      <x:c r="M661" s="32" t="n">
        <x:v>6829.2</x:v>
      </x:c>
    </x:row>
    <x:row r="662" ht="23" customHeight="1">
      <x:c r="A662" s="11" t="n">
        <x:v>10657</x:v>
      </x:c>
      <x:c r="B662" s="31" t="n">
        <x:v>59.8</x:v>
      </x:c>
      <x:c r="C662" s="31" t="n">
        <x:v>38.5</x:v>
      </x:c>
      <x:c r="D662" s="11" t="n">
        <x:v>4</x:v>
      </x:c>
      <x:c r="E662" s="11" t="n">
        <x:v>24</x:v>
      </x:c>
      <x:c r="F662" s="11" t="n">
        <x:v>1998</x:v>
      </x:c>
      <x:c r="G662" s="31" t="n">
        <x:v>17</x:v>
      </x:c>
      <x:c r="H662" s="11" t="n">
        <x:v>1337</x:v>
      </x:c>
      <x:c r="I662" s="11" t="n">
        <x:v>4</x:v>
      </x:c>
      <x:c r="J662" s="11" t="n">
        <x:v>515</x:v>
      </x:c>
      <x:c r="K662" s="9" t="str">
        <x:v>Пт</x:v>
      </x:c>
      <x:c r="L662" s="10" t="n">
        <x:v>40.92</x:v>
      </x:c>
      <x:c r="M662" s="31" t="n">
        <x:v>11969.5</x:v>
      </x:c>
    </x:row>
    <x:row r="663" ht="23" customHeight="1">
      <x:c r="A663" s="12" t="n">
        <x:v>10658</x:v>
      </x:c>
      <x:c r="B663" s="32" t="n">
        <x:v>68.7</x:v>
      </x:c>
      <x:c r="C663" s="32" t="n">
        <x:v>37.8</x:v>
      </x:c>
      <x:c r="D663" s="12" t="n">
        <x:v>3</x:v>
      </x:c>
      <x:c r="E663" s="12" t="n">
        <x:v>1</x:v>
      </x:c>
      <x:c r="F663" s="12" t="n">
        <x:v>2010</x:v>
      </x:c>
      <x:c r="G663" s="32" t="n">
        <x:v>24</x:v>
      </x:c>
      <x:c r="H663" s="12" t="n">
        <x:v>1947</x:v>
      </x:c>
      <x:c r="I663" s="12" t="n">
        <x:v>1</x:v>
      </x:c>
      <x:c r="J663" s="12" t="n">
        <x:v>547</x:v>
      </x:c>
      <x:c r="K663" s="3" t="str">
        <x:v>Вс</x:v>
      </x:c>
      <x:c r="L663" s="8" t="n">
        <x:v>62.04</x:v>
      </x:c>
      <x:c r="M663" s="32" t="n">
        <x:v>13688.8</x:v>
      </x:c>
    </x:row>
    <x:row r="664" ht="23" customHeight="1">
      <x:c r="A664" s="11" t="n">
        <x:v>10659</x:v>
      </x:c>
      <x:c r="B664" s="31" t="n">
        <x:v>100.3</x:v>
      </x:c>
      <x:c r="C664" s="31" t="n">
        <x:v>67.3</x:v>
      </x:c>
      <x:c r="D664" s="11" t="n">
        <x:v>4</x:v>
      </x:c>
      <x:c r="E664" s="11" t="n">
        <x:v>8</x:v>
      </x:c>
      <x:c r="F664" s="11" t="n">
        <x:v>1998</x:v>
      </x:c>
      <x:c r="G664" s="31" t="n">
        <x:v>29.6</x:v>
      </x:c>
      <x:c r="H664" s="11" t="n">
        <x:v>2368</x:v>
      </x:c>
      <x:c r="I664" s="11" t="n">
        <x:v>2</x:v>
      </x:c>
      <x:c r="J664" s="11" t="n">
        <x:v>611</x:v>
      </x:c>
      <x:c r="K664" s="9" t="str">
        <x:v>Пн</x:v>
      </x:c>
      <x:c r="L664" s="10" t="n">
        <x:v>58.6</x:v>
      </x:c>
      <x:c r="M664" s="31" t="n">
        <x:v>18179.6</x:v>
      </x:c>
    </x:row>
    <x:row r="665" ht="23" customHeight="1">
      <x:c r="A665" s="12" t="n">
        <x:v>10660</x:v>
      </x:c>
      <x:c r="B665" s="32" t="n">
        <x:v>91.9</x:v>
      </x:c>
      <x:c r="C665" s="32" t="n">
        <x:v>64</x:v>
      </x:c>
      <x:c r="D665" s="12" t="n">
        <x:v>4</x:v>
      </x:c>
      <x:c r="E665" s="12" t="n">
        <x:v>13</x:v>
      </x:c>
      <x:c r="F665" s="12" t="n">
        <x:v>2003</x:v>
      </x:c>
      <x:c r="G665" s="32" t="n">
        <x:v>7.6</x:v>
      </x:c>
      <x:c r="H665" s="12" t="n">
        <x:v>669</x:v>
      </x:c>
      <x:c r="I665" s="12" t="n">
        <x:v>3</x:v>
      </x:c>
      <x:c r="J665" s="12" t="n">
        <x:v>184</x:v>
      </x:c>
      <x:c r="K665" s="3" t="str">
        <x:v>Сб</x:v>
      </x:c>
      <x:c r="L665" s="8" t="n">
        <x:v>42.47</x:v>
      </x:c>
      <x:c r="M665" s="32" t="n">
        <x:v>18183.4</x:v>
      </x:c>
    </x:row>
    <x:row r="666" ht="23" customHeight="1">
      <x:c r="A666" s="11" t="n">
        <x:v>10661</x:v>
      </x:c>
      <x:c r="B666" s="31" t="n">
        <x:v>67.9</x:v>
      </x:c>
      <x:c r="C666" s="31" t="n">
        <x:v>45.3</x:v>
      </x:c>
      <x:c r="D666" s="11" t="n">
        <x:v>3</x:v>
      </x:c>
      <x:c r="E666" s="11" t="n">
        <x:v>23</x:v>
      </x:c>
      <x:c r="F666" s="11" t="n">
        <x:v>2003</x:v>
      </x:c>
      <x:c r="G666" s="31" t="n">
        <x:v>2.6</x:v>
      </x:c>
      <x:c r="H666" s="11" t="n">
        <x:v>257</x:v>
      </x:c>
      <x:c r="I666" s="11" t="n">
        <x:v>9</x:v>
      </x:c>
      <x:c r="J666" s="11" t="n">
        <x:v>266</x:v>
      </x:c>
      <x:c r="K666" s="9" t="str">
        <x:v>Сб</x:v>
      </x:c>
      <x:c r="L666" s="10" t="n">
        <x:v>50.48</x:v>
      </x:c>
      <x:c r="M666" s="31" t="n">
        <x:v>15342.5</x:v>
      </x:c>
    </x:row>
    <x:row r="667" ht="23" customHeight="1">
      <x:c r="A667" s="12" t="n">
        <x:v>10662</x:v>
      </x:c>
      <x:c r="B667" s="32" t="n">
        <x:v>138.5</x:v>
      </x:c>
      <x:c r="C667" s="32" t="n">
        <x:v>96</x:v>
      </x:c>
      <x:c r="D667" s="12" t="n">
        <x:v>5</x:v>
      </x:c>
      <x:c r="E667" s="12" t="n">
        <x:v>15</x:v>
      </x:c>
      <x:c r="F667" s="12" t="n">
        <x:v>1997</x:v>
      </x:c>
      <x:c r="G667" s="32" t="n">
        <x:v>27.7</x:v>
      </x:c>
      <x:c r="H667" s="12" t="n">
        <x:v>2146</x:v>
      </x:c>
      <x:c r="I667" s="12" t="n">
        <x:v>8</x:v>
      </x:c>
      <x:c r="J667" s="12" t="n">
        <x:v>483</x:v>
      </x:c>
      <x:c r="K667" s="3" t="str">
        <x:v>Пт</x:v>
      </x:c>
      <x:c r="L667" s="8" t="n">
        <x:v>54.15</x:v>
      </x:c>
      <x:c r="M667" s="32" t="n">
        <x:v>24891.9</x:v>
      </x:c>
    </x:row>
    <x:row r="668" ht="23" customHeight="1">
      <x:c r="A668" s="11" t="n">
        <x:v>10663</x:v>
      </x:c>
      <x:c r="B668" s="31" t="n">
        <x:v>95.8</x:v>
      </x:c>
      <x:c r="C668" s="31" t="n">
        <x:v>55.8</x:v>
      </x:c>
      <x:c r="D668" s="11" t="n">
        <x:v>4</x:v>
      </x:c>
      <x:c r="E668" s="11" t="n">
        <x:v>8</x:v>
      </x:c>
      <x:c r="F668" s="11" t="n">
        <x:v>1982</x:v>
      </x:c>
      <x:c r="G668" s="31" t="n">
        <x:v>22.1</x:v>
      </x:c>
      <x:c r="H668" s="11" t="n">
        <x:v>1797</x:v>
      </x:c>
      <x:c r="I668" s="11" t="n">
        <x:v>7</x:v>
      </x:c>
      <x:c r="J668" s="11" t="n">
        <x:v>567</x:v>
      </x:c>
      <x:c r="K668" s="9" t="str">
        <x:v>Чт</x:v>
      </x:c>
      <x:c r="L668" s="10" t="n">
        <x:v>39.44</x:v>
      </x:c>
      <x:c r="M668" s="31" t="n">
        <x:v>17103.6</x:v>
      </x:c>
    </x:row>
    <x:row r="669" ht="23" customHeight="1">
      <x:c r="A669" s="12" t="n">
        <x:v>10664</x:v>
      </x:c>
      <x:c r="B669" s="32" t="n">
        <x:v>54.6</x:v>
      </x:c>
      <x:c r="C669" s="32" t="n">
        <x:v>36.4</x:v>
      </x:c>
      <x:c r="D669" s="12" t="n">
        <x:v>3</x:v>
      </x:c>
      <x:c r="E669" s="12" t="n">
        <x:v>12</x:v>
      </x:c>
      <x:c r="F669" s="12" t="n">
        <x:v>1984</x:v>
      </x:c>
      <x:c r="G669" s="32" t="n">
        <x:v>25.1</x:v>
      </x:c>
      <x:c r="H669" s="12" t="n">
        <x:v>1998</x:v>
      </x:c>
      <x:c r="I669" s="12" t="n">
        <x:v>4</x:v>
      </x:c>
      <x:c r="J669" s="12" t="n">
        <x:v>171</x:v>
      </x:c>
      <x:c r="K669" s="3" t="str">
        <x:v>Ср</x:v>
      </x:c>
      <x:c r="L669" s="8" t="n">
        <x:v>26.89</x:v>
      </x:c>
      <x:c r="M669" s="32" t="n">
        <x:v>9720.3</x:v>
      </x:c>
    </x:row>
    <x:row r="670" ht="23" customHeight="1">
      <x:c r="A670" s="11" t="n">
        <x:v>10665</x:v>
      </x:c>
      <x:c r="B670" s="31" t="n">
        <x:v>39.4</x:v>
      </x:c>
      <x:c r="C670" s="31" t="n">
        <x:v>25.8</x:v>
      </x:c>
      <x:c r="D670" s="11" t="n">
        <x:v>1</x:v>
      </x:c>
      <x:c r="E670" s="11" t="n">
        <x:v>22</x:v>
      </x:c>
      <x:c r="F670" s="11" t="n">
        <x:v>1992</x:v>
      </x:c>
      <x:c r="G670" s="31" t="n">
        <x:v>29.7</x:v>
      </x:c>
      <x:c r="H670" s="11" t="n">
        <x:v>2380</x:v>
      </x:c>
      <x:c r="I670" s="11" t="n">
        <x:v>1</x:v>
      </x:c>
      <x:c r="J670" s="11" t="n">
        <x:v>909</x:v>
      </x:c>
      <x:c r="K670" s="9" t="str">
        <x:v>Вт</x:v>
      </x:c>
      <x:c r="L670" s="10" t="n">
        <x:v>57.73</x:v>
      </x:c>
      <x:c r="M670" s="31" t="n">
        <x:v>7287.1</x:v>
      </x:c>
    </x:row>
    <x:row r="671" ht="23" customHeight="1">
      <x:c r="A671" s="12" t="n">
        <x:v>10666</x:v>
      </x:c>
      <x:c r="B671" s="32" t="n">
        <x:v>45.1</x:v>
      </x:c>
      <x:c r="C671" s="32" t="n">
        <x:v>29.2</x:v>
      </x:c>
      <x:c r="D671" s="12" t="n">
        <x:v>1</x:v>
      </x:c>
      <x:c r="E671" s="12" t="n">
        <x:v>12</x:v>
      </x:c>
      <x:c r="F671" s="12" t="n">
        <x:v>2013</x:v>
      </x:c>
      <x:c r="G671" s="32" t="n">
        <x:v>28.5</x:v>
      </x:c>
      <x:c r="H671" s="12" t="n">
        <x:v>2244</x:v>
      </x:c>
      <x:c r="I671" s="12" t="n">
        <x:v>8</x:v>
      </x:c>
      <x:c r="J671" s="12" t="n">
        <x:v>620</x:v>
      </x:c>
      <x:c r="K671" s="3" t="str">
        <x:v>Вт</x:v>
      </x:c>
      <x:c r="L671" s="8" t="n">
        <x:v>40.27</x:v>
      </x:c>
      <x:c r="M671" s="32" t="n">
        <x:v>9535.7</x:v>
      </x:c>
    </x:row>
    <x:row r="672" ht="23" customHeight="1">
      <x:c r="A672" s="11" t="n">
        <x:v>10667</x:v>
      </x:c>
      <x:c r="B672" s="31" t="n">
        <x:v>55.5</x:v>
      </x:c>
      <x:c r="C672" s="31" t="n">
        <x:v>31.6</x:v>
      </x:c>
      <x:c r="D672" s="11" t="n">
        <x:v>1</x:v>
      </x:c>
      <x:c r="E672" s="11" t="n">
        <x:v>14</x:v>
      </x:c>
      <x:c r="F672" s="11" t="n">
        <x:v>1995</x:v>
      </x:c>
      <x:c r="G672" s="31" t="n">
        <x:v>33.7</x:v>
      </x:c>
      <x:c r="H672" s="11" t="n">
        <x:v>2783</x:v>
      </x:c>
      <x:c r="I672" s="11" t="n">
        <x:v>4</x:v>
      </x:c>
      <x:c r="J672" s="11" t="n">
        <x:v>892</x:v>
      </x:c>
      <x:c r="K672" s="9" t="str">
        <x:v>Пн</x:v>
      </x:c>
      <x:c r="L672" s="10" t="n">
        <x:v>56.61</x:v>
      </x:c>
      <x:c r="M672" s="31" t="n">
        <x:v>9167.9</x:v>
      </x:c>
    </x:row>
    <x:row r="673" ht="23" customHeight="1">
      <x:c r="A673" s="12" t="n">
        <x:v>10668</x:v>
      </x:c>
      <x:c r="B673" s="32" t="n">
        <x:v>46</x:v>
      </x:c>
      <x:c r="C673" s="32" t="n">
        <x:v>23.7</x:v>
      </x:c>
      <x:c r="D673" s="12" t="n">
        <x:v>2</x:v>
      </x:c>
      <x:c r="E673" s="12" t="n">
        <x:v>15</x:v>
      </x:c>
      <x:c r="F673" s="12" t="n">
        <x:v>1973</x:v>
      </x:c>
      <x:c r="G673" s="32" t="n">
        <x:v>19.7</x:v>
      </x:c>
      <x:c r="H673" s="12" t="n">
        <x:v>1628</x:v>
      </x:c>
      <x:c r="I673" s="12" t="n">
        <x:v>3</x:v>
      </x:c>
      <x:c r="J673" s="12" t="n">
        <x:v>572</x:v>
      </x:c>
      <x:c r="K673" s="3" t="str">
        <x:v>Вт</x:v>
      </x:c>
      <x:c r="L673" s="8" t="n">
        <x:v>54.82</x:v>
      </x:c>
      <x:c r="M673" s="32" t="n">
        <x:v>7705.9</x:v>
      </x:c>
    </x:row>
    <x:row r="674" ht="23" customHeight="1">
      <x:c r="A674" s="11" t="n">
        <x:v>10669</x:v>
      </x:c>
      <x:c r="B674" s="31" t="n">
        <x:v>48.9</x:v>
      </x:c>
      <x:c r="C674" s="31" t="n">
        <x:v>28.4</x:v>
      </x:c>
      <x:c r="D674" s="11" t="n">
        <x:v>1</x:v>
      </x:c>
      <x:c r="E674" s="11" t="n">
        <x:v>15</x:v>
      </x:c>
      <x:c r="F674" s="11" t="n">
        <x:v>1995</x:v>
      </x:c>
      <x:c r="G674" s="31" t="n">
        <x:v>18.1</x:v>
      </x:c>
      <x:c r="H674" s="11" t="n">
        <x:v>1411</x:v>
      </x:c>
      <x:c r="I674" s="11" t="n">
        <x:v>9</x:v>
      </x:c>
      <x:c r="J674" s="11" t="n">
        <x:v>357</x:v>
      </x:c>
      <x:c r="K674" s="9" t="str">
        <x:v>Вт</x:v>
      </x:c>
      <x:c r="L674" s="10" t="n">
        <x:v>50.84</x:v>
      </x:c>
      <x:c r="M674" s="31" t="n">
        <x:v>10115.2</x:v>
      </x:c>
    </x:row>
    <x:row r="675" ht="23" customHeight="1">
      <x:c r="A675" s="12" t="n">
        <x:v>10670</x:v>
      </x:c>
      <x:c r="B675" s="32" t="n">
        <x:v>59.9</x:v>
      </x:c>
      <x:c r="C675" s="32" t="n">
        <x:v>36.3</x:v>
      </x:c>
      <x:c r="D675" s="12" t="n">
        <x:v>1</x:v>
      </x:c>
      <x:c r="E675" s="12" t="n">
        <x:v>9</x:v>
      </x:c>
      <x:c r="F675" s="12" t="n">
        <x:v>2009</x:v>
      </x:c>
      <x:c r="G675" s="32" t="n">
        <x:v>15.3</x:v>
      </x:c>
      <x:c r="H675" s="12" t="n">
        <x:v>1157</x:v>
      </x:c>
      <x:c r="I675" s="12" t="n">
        <x:v>4</x:v>
      </x:c>
      <x:c r="J675" s="12" t="n">
        <x:v>374</x:v>
      </x:c>
      <x:c r="K675" s="3" t="str">
        <x:v>Ср</x:v>
      </x:c>
      <x:c r="L675" s="8" t="n">
        <x:v>43.61</x:v>
      </x:c>
      <x:c r="M675" s="32" t="n">
        <x:v>11616.5</x:v>
      </x:c>
    </x:row>
    <x:row r="676" ht="23" customHeight="1">
      <x:c r="A676" s="11" t="n">
        <x:v>10671</x:v>
      </x:c>
      <x:c r="B676" s="31" t="n">
        <x:v>47.4</x:v>
      </x:c>
      <x:c r="C676" s="31" t="n">
        <x:v>26.5</x:v>
      </x:c>
      <x:c r="D676" s="11" t="n">
        <x:v>2</x:v>
      </x:c>
      <x:c r="E676" s="11" t="n">
        <x:v>19</x:v>
      </x:c>
      <x:c r="F676" s="11" t="n">
        <x:v>1978</x:v>
      </x:c>
      <x:c r="G676" s="31" t="n">
        <x:v>7.1</x:v>
      </x:c>
      <x:c r="H676" s="11" t="n">
        <x:v>549</x:v>
      </x:c>
      <x:c r="I676" s="11" t="n">
        <x:v>4</x:v>
      </x:c>
      <x:c r="J676" s="11" t="n">
        <x:v>849</x:v>
      </x:c>
      <x:c r="K676" s="9" t="str">
        <x:v>Ср</x:v>
      </x:c>
      <x:c r="L676" s="10" t="n">
        <x:v>40.49</x:v>
      </x:c>
      <x:c r="M676" s="31" t="n">
        <x:v>10154.8</x:v>
      </x:c>
    </x:row>
    <x:row r="677" ht="23" customHeight="1">
      <x:c r="A677" s="12" t="n">
        <x:v>10672</x:v>
      </x:c>
      <x:c r="B677" s="32" t="n">
        <x:v>128.4</x:v>
      </x:c>
      <x:c r="C677" s="32" t="n">
        <x:v>85.1</x:v>
      </x:c>
      <x:c r="D677" s="12" t="n">
        <x:v>5</x:v>
      </x:c>
      <x:c r="E677" s="12" t="n">
        <x:v>20</x:v>
      </x:c>
      <x:c r="F677" s="12" t="n">
        <x:v>1974</x:v>
      </x:c>
      <x:c r="G677" s="32" t="n">
        <x:v>20.9</x:v>
      </x:c>
      <x:c r="H677" s="12" t="n">
        <x:v>1694</x:v>
      </x:c>
      <x:c r="I677" s="12" t="n">
        <x:v>9</x:v>
      </x:c>
      <x:c r="J677" s="12" t="n">
        <x:v>119</x:v>
      </x:c>
      <x:c r="K677" s="3" t="str">
        <x:v>Чт</x:v>
      </x:c>
      <x:c r="L677" s="8" t="n">
        <x:v>32.92</x:v>
      </x:c>
      <x:c r="M677" s="32" t="n">
        <x:v>22779.1</x:v>
      </x:c>
    </x:row>
    <x:row r="678" ht="23" customHeight="1">
      <x:c r="A678" s="11" t="n">
        <x:v>10673</x:v>
      </x:c>
      <x:c r="B678" s="31" t="n">
        <x:v>37</x:v>
      </x:c>
      <x:c r="C678" s="31" t="n">
        <x:v>21.4</x:v>
      </x:c>
      <x:c r="D678" s="11" t="n">
        <x:v>1</x:v>
      </x:c>
      <x:c r="E678" s="11" t="n">
        <x:v>22</x:v>
      </x:c>
      <x:c r="F678" s="11" t="n">
        <x:v>2001</x:v>
      </x:c>
      <x:c r="G678" s="31" t="n">
        <x:v>11.1</x:v>
      </x:c>
      <x:c r="H678" s="11" t="n">
        <x:v>900</x:v>
      </x:c>
      <x:c r="I678" s="11" t="n">
        <x:v>2</x:v>
      </x:c>
      <x:c r="J678" s="11" t="n">
        <x:v>589</x:v>
      </x:c>
      <x:c r="K678" s="9" t="str">
        <x:v>Вс</x:v>
      </x:c>
      <x:c r="L678" s="10" t="n">
        <x:v>40.78</x:v>
      </x:c>
      <x:c r="M678" s="31" t="n">
        <x:v>7700</x:v>
      </x:c>
    </x:row>
    <x:row r="679" ht="23" customHeight="1">
      <x:c r="A679" s="12" t="n">
        <x:v>10674</x:v>
      </x:c>
      <x:c r="B679" s="32" t="n">
        <x:v>86.7</x:v>
      </x:c>
      <x:c r="C679" s="32" t="n">
        <x:v>50.1</x:v>
      </x:c>
      <x:c r="D679" s="12" t="n">
        <x:v>4</x:v>
      </x:c>
      <x:c r="E679" s="12" t="n">
        <x:v>8</x:v>
      </x:c>
      <x:c r="F679" s="12" t="n">
        <x:v>1989</x:v>
      </x:c>
      <x:c r="G679" s="32" t="n">
        <x:v>32.4</x:v>
      </x:c>
      <x:c r="H679" s="12" t="n">
        <x:v>2655</x:v>
      </x:c>
      <x:c r="I679" s="12" t="n">
        <x:v>5</x:v>
      </x:c>
      <x:c r="J679" s="12" t="n">
        <x:v>844</x:v>
      </x:c>
      <x:c r="K679" s="3" t="str">
        <x:v>Пн</x:v>
      </x:c>
      <x:c r="L679" s="8" t="n">
        <x:v>58.53</x:v>
      </x:c>
      <x:c r="M679" s="32" t="n">
        <x:v>14323.1</x:v>
      </x:c>
    </x:row>
    <x:row r="680" ht="23" customHeight="1">
      <x:c r="A680" s="11" t="n">
        <x:v>10675</x:v>
      </x:c>
      <x:c r="B680" s="31" t="n">
        <x:v>74</x:v>
      </x:c>
      <x:c r="C680" s="31" t="n">
        <x:v>47</x:v>
      </x:c>
      <x:c r="D680" s="11" t="n">
        <x:v>3</x:v>
      </x:c>
      <x:c r="E680" s="11" t="n">
        <x:v>21</x:v>
      </x:c>
      <x:c r="F680" s="11" t="n">
        <x:v>2019</x:v>
      </x:c>
      <x:c r="G680" s="31" t="n">
        <x:v>21.2</x:v>
      </x:c>
      <x:c r="H680" s="11" t="n">
        <x:v>1735</x:v>
      </x:c>
      <x:c r="I680" s="11" t="n">
        <x:v>4</x:v>
      </x:c>
      <x:c r="J680" s="11" t="n">
        <x:v>589</x:v>
      </x:c>
      <x:c r="K680" s="9" t="str">
        <x:v>Вт</x:v>
      </x:c>
      <x:c r="L680" s="10" t="n">
        <x:v>70.97</x:v>
      </x:c>
      <x:c r="M680" s="31" t="n">
        <x:v>15770.2</x:v>
      </x:c>
    </x:row>
    <x:row r="681" ht="23" customHeight="1">
      <x:c r="A681" s="12" t="n">
        <x:v>10676</x:v>
      </x:c>
      <x:c r="B681" s="32" t="n">
        <x:v>138</x:v>
      </x:c>
      <x:c r="C681" s="32" t="n">
        <x:v>87.1</x:v>
      </x:c>
      <x:c r="D681" s="12" t="n">
        <x:v>5</x:v>
      </x:c>
      <x:c r="E681" s="12" t="n">
        <x:v>19</x:v>
      </x:c>
      <x:c r="F681" s="12" t="n">
        <x:v>1980</x:v>
      </x:c>
      <x:c r="G681" s="32" t="n">
        <x:v>21.6</x:v>
      </x:c>
      <x:c r="H681" s="12" t="n">
        <x:v>1776</x:v>
      </x:c>
      <x:c r="I681" s="12" t="n">
        <x:v>9</x:v>
      </x:c>
      <x:c r="J681" s="12" t="n">
        <x:v>832</x:v>
      </x:c>
      <x:c r="K681" s="3" t="str">
        <x:v>Чт</x:v>
      </x:c>
      <x:c r="L681" s="8" t="n">
        <x:v>68.77</x:v>
      </x:c>
      <x:c r="M681" s="32" t="n">
        <x:v>23772.3</x:v>
      </x:c>
    </x:row>
    <x:row r="682" ht="23" customHeight="1">
      <x:c r="A682" s="11" t="n">
        <x:v>10677</x:v>
      </x:c>
      <x:c r="B682" s="31" t="n">
        <x:v>40.5</x:v>
      </x:c>
      <x:c r="C682" s="31" t="n">
        <x:v>29.1</x:v>
      </x:c>
      <x:c r="D682" s="11" t="n">
        <x:v>2</x:v>
      </x:c>
      <x:c r="E682" s="11" t="n">
        <x:v>6</x:v>
      </x:c>
      <x:c r="F682" s="11" t="n">
        <x:v>1984</x:v>
      </x:c>
      <x:c r="G682" s="31" t="n">
        <x:v>13.7</x:v>
      </x:c>
      <x:c r="H682" s="11" t="n">
        <x:v>1112</x:v>
      </x:c>
      <x:c r="I682" s="11" t="n">
        <x:v>5</x:v>
      </x:c>
      <x:c r="J682" s="11" t="n">
        <x:v>425</x:v>
      </x:c>
      <x:c r="K682" s="9" t="str">
        <x:v>Пн</x:v>
      </x:c>
      <x:c r="L682" s="10" t="n">
        <x:v>52.18</x:v>
      </x:c>
      <x:c r="M682" s="31" t="n">
        <x:v>8131.7</x:v>
      </x:c>
    </x:row>
    <x:row r="683" ht="23" customHeight="1">
      <x:c r="A683" s="12" t="n">
        <x:v>10678</x:v>
      </x:c>
      <x:c r="B683" s="32" t="n">
        <x:v>72.6</x:v>
      </x:c>
      <x:c r="C683" s="32" t="n">
        <x:v>45.9</x:v>
      </x:c>
      <x:c r="D683" s="12" t="n">
        <x:v>3</x:v>
      </x:c>
      <x:c r="E683" s="12" t="n">
        <x:v>20</x:v>
      </x:c>
      <x:c r="F683" s="12" t="n">
        <x:v>2001</x:v>
      </x:c>
      <x:c r="G683" s="32" t="n">
        <x:v>3.7</x:v>
      </x:c>
      <x:c r="H683" s="12" t="n">
        <x:v>227</x:v>
      </x:c>
      <x:c r="I683" s="12" t="n">
        <x:v>9</x:v>
      </x:c>
      <x:c r="J683" s="12" t="n">
        <x:v>628</x:v>
      </x:c>
      <x:c r="K683" s="3" t="str">
        <x:v>Сб</x:v>
      </x:c>
      <x:c r="L683" s="8" t="n">
        <x:v>70.96</x:v>
      </x:c>
      <x:c r="M683" s="32" t="n">
        <x:v>15196.3</x:v>
      </x:c>
    </x:row>
    <x:row r="684" ht="23" customHeight="1">
      <x:c r="A684" s="11" t="n">
        <x:v>10679</x:v>
      </x:c>
      <x:c r="B684" s="31" t="n">
        <x:v>136.6</x:v>
      </x:c>
      <x:c r="C684" s="31" t="n">
        <x:v>83</x:v>
      </x:c>
      <x:c r="D684" s="11" t="n">
        <x:v>5</x:v>
      </x:c>
      <x:c r="E684" s="11" t="n">
        <x:v>25</x:v>
      </x:c>
      <x:c r="F684" s="11" t="n">
        <x:v>1997</x:v>
      </x:c>
      <x:c r="G684" s="31" t="n">
        <x:v>3</x:v>
      </x:c>
      <x:c r="H684" s="11" t="n">
        <x:v>230</x:v>
      </x:c>
      <x:c r="I684" s="11" t="n">
        <x:v>9</x:v>
      </x:c>
      <x:c r="J684" s="11" t="n">
        <x:v>991</x:v>
      </x:c>
      <x:c r="K684" s="9" t="str">
        <x:v>Вт</x:v>
      </x:c>
      <x:c r="L684" s="10" t="n">
        <x:v>45.4</x:v>
      </x:c>
      <x:c r="M684" s="31" t="n">
        <x:v>26516</x:v>
      </x:c>
    </x:row>
    <x:row r="685" ht="23" customHeight="1">
      <x:c r="A685" s="12" t="n">
        <x:v>10680</x:v>
      </x:c>
      <x:c r="B685" s="32" t="n">
        <x:v>124.9</x:v>
      </x:c>
      <x:c r="C685" s="32" t="n">
        <x:v>83</x:v>
      </x:c>
      <x:c r="D685" s="12" t="n">
        <x:v>5</x:v>
      </x:c>
      <x:c r="E685" s="12" t="n">
        <x:v>19</x:v>
      </x:c>
      <x:c r="F685" s="12" t="n">
        <x:v>1991</x:v>
      </x:c>
      <x:c r="G685" s="32" t="n">
        <x:v>16</x:v>
      </x:c>
      <x:c r="H685" s="12" t="n">
        <x:v>1333</x:v>
      </x:c>
      <x:c r="I685" s="12" t="n">
        <x:v>2</x:v>
      </x:c>
      <x:c r="J685" s="12" t="n">
        <x:v>188</x:v>
      </x:c>
      <x:c r="K685" s="3" t="str">
        <x:v>Вт</x:v>
      </x:c>
      <x:c r="L685" s="8" t="n">
        <x:v>30.63</x:v>
      </x:c>
      <x:c r="M685" s="32" t="n">
        <x:v>24024.8</x:v>
      </x:c>
    </x:row>
    <x:row r="686" ht="23" customHeight="1">
      <x:c r="A686" s="11" t="n">
        <x:v>10681</x:v>
      </x:c>
      <x:c r="B686" s="31" t="n">
        <x:v>119.5</x:v>
      </x:c>
      <x:c r="C686" s="31" t="n">
        <x:v>74.4</x:v>
      </x:c>
      <x:c r="D686" s="11" t="n">
        <x:v>4</x:v>
      </x:c>
      <x:c r="E686" s="11" t="n">
        <x:v>4</x:v>
      </x:c>
      <x:c r="F686" s="11" t="n">
        <x:v>2010</x:v>
      </x:c>
      <x:c r="G686" s="31" t="n">
        <x:v>4.8</x:v>
      </x:c>
      <x:c r="H686" s="11" t="n">
        <x:v>381</x:v>
      </x:c>
      <x:c r="I686" s="11" t="n">
        <x:v>9</x:v>
      </x:c>
      <x:c r="J686" s="11" t="n">
        <x:v>585</x:v>
      </x:c>
      <x:c r="K686" s="9" t="str">
        <x:v>Ср</x:v>
      </x:c>
      <x:c r="L686" s="10" t="n">
        <x:v>78.81</x:v>
      </x:c>
      <x:c r="M686" s="31" t="n">
        <x:v>23892</x:v>
      </x:c>
    </x:row>
    <x:row r="687" ht="23" customHeight="1">
      <x:c r="A687" s="12" t="n">
        <x:v>10682</x:v>
      </x:c>
      <x:c r="B687" s="32" t="n">
        <x:v>56.9</x:v>
      </x:c>
      <x:c r="C687" s="32" t="n">
        <x:v>32.1</x:v>
      </x:c>
      <x:c r="D687" s="12" t="n">
        <x:v>3</x:v>
      </x:c>
      <x:c r="E687" s="12" t="n">
        <x:v>23</x:v>
      </x:c>
      <x:c r="F687" s="12" t="n">
        <x:v>1986</x:v>
      </x:c>
      <x:c r="G687" s="32" t="n">
        <x:v>22</x:v>
      </x:c>
      <x:c r="H687" s="12" t="n">
        <x:v>1785</x:v>
      </x:c>
      <x:c r="I687" s="12" t="n">
        <x:v>3</x:v>
      </x:c>
      <x:c r="J687" s="12" t="n">
        <x:v>807</x:v>
      </x:c>
      <x:c r="K687" s="3" t="str">
        <x:v>Пт</x:v>
      </x:c>
      <x:c r="L687" s="8" t="n">
        <x:v>57.99</x:v>
      </x:c>
      <x:c r="M687" s="32" t="n">
        <x:v>10780.1</x:v>
      </x:c>
    </x:row>
    <x:row r="688" ht="23" customHeight="1">
      <x:c r="A688" s="11" t="n">
        <x:v>10683</x:v>
      </x:c>
      <x:c r="B688" s="31" t="n">
        <x:v>47.1</x:v>
      </x:c>
      <x:c r="C688" s="31" t="n">
        <x:v>29.9</x:v>
      </x:c>
      <x:c r="D688" s="11" t="n">
        <x:v>2</x:v>
      </x:c>
      <x:c r="E688" s="11" t="n">
        <x:v>7</x:v>
      </x:c>
      <x:c r="F688" s="11" t="n">
        <x:v>1995</x:v>
      </x:c>
      <x:c r="G688" s="31" t="n">
        <x:v>31.1</x:v>
      </x:c>
      <x:c r="H688" s="11" t="n">
        <x:v>2472</x:v>
      </x:c>
      <x:c r="I688" s="11" t="n">
        <x:v>4</x:v>
      </x:c>
      <x:c r="J688" s="11" t="n">
        <x:v>449</x:v>
      </x:c>
      <x:c r="K688" s="9" t="str">
        <x:v>Пн</x:v>
      </x:c>
      <x:c r="L688" s="10" t="n">
        <x:v>26.98</x:v>
      </x:c>
      <x:c r="M688" s="31" t="n">
        <x:v>8002.4</x:v>
      </x:c>
    </x:row>
    <x:row r="689" ht="23" customHeight="1">
      <x:c r="A689" s="12" t="n">
        <x:v>10684</x:v>
      </x:c>
      <x:c r="B689" s="32" t="n">
        <x:v>102.9</x:v>
      </x:c>
      <x:c r="C689" s="32" t="n">
        <x:v>71.3</x:v>
      </x:c>
      <x:c r="D689" s="12" t="n">
        <x:v>4</x:v>
      </x:c>
      <x:c r="E689" s="12" t="n">
        <x:v>4</x:v>
      </x:c>
      <x:c r="F689" s="12" t="n">
        <x:v>2013</x:v>
      </x:c>
      <x:c r="G689" s="32" t="n">
        <x:v>31.1</x:v>
      </x:c>
      <x:c r="H689" s="12" t="n">
        <x:v>2437</x:v>
      </x:c>
      <x:c r="I689" s="12" t="n">
        <x:v>1</x:v>
      </x:c>
      <x:c r="J689" s="12" t="n">
        <x:v>183</x:v>
      </x:c>
      <x:c r="K689" s="3" t="str">
        <x:v>Вт</x:v>
      </x:c>
      <x:c r="L689" s="8" t="n">
        <x:v>73.39</x:v>
      </x:c>
      <x:c r="M689" s="32" t="n">
        <x:v>17886.2</x:v>
      </x:c>
    </x:row>
    <x:row r="690" ht="23" customHeight="1">
      <x:c r="A690" s="11" t="n">
        <x:v>10685</x:v>
      </x:c>
      <x:c r="B690" s="31" t="n">
        <x:v>132.1</x:v>
      </x:c>
      <x:c r="C690" s="31" t="n">
        <x:v>80.1</x:v>
      </x:c>
      <x:c r="D690" s="11" t="n">
        <x:v>5</x:v>
      </x:c>
      <x:c r="E690" s="11" t="n">
        <x:v>22</x:v>
      </x:c>
      <x:c r="F690" s="11" t="n">
        <x:v>1976</x:v>
      </x:c>
      <x:c r="G690" s="31" t="n">
        <x:v>23.7</x:v>
      </x:c>
      <x:c r="H690" s="11" t="n">
        <x:v>1890</x:v>
      </x:c>
      <x:c r="I690" s="11" t="n">
        <x:v>1</x:v>
      </x:c>
      <x:c r="J690" s="11" t="n">
        <x:v>486</x:v>
      </x:c>
      <x:c r="K690" s="9" t="str">
        <x:v>Пн</x:v>
      </x:c>
      <x:c r="L690" s="10" t="n">
        <x:v>38.85</x:v>
      </x:c>
      <x:c r="M690" s="31" t="n">
        <x:v>22542.8</x:v>
      </x:c>
    </x:row>
    <x:row r="691" ht="23" customHeight="1">
      <x:c r="A691" s="12" t="n">
        <x:v>10686</x:v>
      </x:c>
      <x:c r="B691" s="32" t="n">
        <x:v>90.4</x:v>
      </x:c>
      <x:c r="C691" s="32" t="n">
        <x:v>51</x:v>
      </x:c>
      <x:c r="D691" s="12" t="n">
        <x:v>3</x:v>
      </x:c>
      <x:c r="E691" s="12" t="n">
        <x:v>12</x:v>
      </x:c>
      <x:c r="F691" s="12" t="n">
        <x:v>2011</x:v>
      </x:c>
      <x:c r="G691" s="32" t="n">
        <x:v>9</x:v>
      </x:c>
      <x:c r="H691" s="12" t="n">
        <x:v>735</x:v>
      </x:c>
      <x:c r="I691" s="12" t="n">
        <x:v>1</x:v>
      </x:c>
      <x:c r="J691" s="12" t="n">
        <x:v>186</x:v>
      </x:c>
      <x:c r="K691" s="3" t="str">
        <x:v>Вс</x:v>
      </x:c>
      <x:c r="L691" s="8" t="n">
        <x:v>42.11</x:v>
      </x:c>
      <x:c r="M691" s="32" t="n">
        <x:v>19080.3</x:v>
      </x:c>
    </x:row>
    <x:row r="692" ht="23" customHeight="1">
      <x:c r="A692" s="11" t="n">
        <x:v>10687</x:v>
      </x:c>
      <x:c r="B692" s="31" t="n">
        <x:v>92</x:v>
      </x:c>
      <x:c r="C692" s="31" t="n">
        <x:v>51.9</x:v>
      </x:c>
      <x:c r="D692" s="11" t="n">
        <x:v>4</x:v>
      </x:c>
      <x:c r="E692" s="11" t="n">
        <x:v>13</x:v>
      </x:c>
      <x:c r="F692" s="11" t="n">
        <x:v>1995</x:v>
      </x:c>
      <x:c r="G692" s="31" t="n">
        <x:v>30.5</x:v>
      </x:c>
      <x:c r="H692" s="11" t="n">
        <x:v>2407</x:v>
      </x:c>
      <x:c r="I692" s="11" t="n">
        <x:v>9</x:v>
      </x:c>
      <x:c r="J692" s="11" t="n">
        <x:v>406</x:v>
      </x:c>
      <x:c r="K692" s="9" t="str">
        <x:v>Чт</x:v>
      </x:c>
      <x:c r="L692" s="10" t="n">
        <x:v>65.32</x:v>
      </x:c>
      <x:c r="M692" s="31" t="n">
        <x:v>16156.3</x:v>
      </x:c>
    </x:row>
    <x:row r="693" ht="23" customHeight="1">
      <x:c r="A693" s="12" t="n">
        <x:v>10688</x:v>
      </x:c>
      <x:c r="B693" s="32" t="n">
        <x:v>59.4</x:v>
      </x:c>
      <x:c r="C693" s="32" t="n">
        <x:v>35.2</x:v>
      </x:c>
      <x:c r="D693" s="12" t="n">
        <x:v>2</x:v>
      </x:c>
      <x:c r="E693" s="12" t="n">
        <x:v>3</x:v>
      </x:c>
      <x:c r="F693" s="12" t="n">
        <x:v>1994</x:v>
      </x:c>
      <x:c r="G693" s="32" t="n">
        <x:v>31.2</x:v>
      </x:c>
      <x:c r="H693" s="12" t="n">
        <x:v>2484</x:v>
      </x:c>
      <x:c r="I693" s="12" t="n">
        <x:v>8</x:v>
      </x:c>
      <x:c r="J693" s="12" t="n">
        <x:v>949</x:v>
      </x:c>
      <x:c r="K693" s="3" t="str">
        <x:v>Чт</x:v>
      </x:c>
      <x:c r="L693" s="8" t="n">
        <x:v>70.43</x:v>
      </x:c>
      <x:c r="M693" s="32" t="n">
        <x:v>9724.4</x:v>
      </x:c>
    </x:row>
    <x:row r="694" ht="23" customHeight="1">
      <x:c r="A694" s="11" t="n">
        <x:v>10689</x:v>
      </x:c>
      <x:c r="B694" s="31" t="n">
        <x:v>114.2</x:v>
      </x:c>
      <x:c r="C694" s="31" t="n">
        <x:v>69.8</x:v>
      </x:c>
      <x:c r="D694" s="11" t="n">
        <x:v>5</x:v>
      </x:c>
      <x:c r="E694" s="11" t="n">
        <x:v>22</x:v>
      </x:c>
      <x:c r="F694" s="11" t="n">
        <x:v>1979</x:v>
      </x:c>
      <x:c r="G694" s="31" t="n">
        <x:v>8.5</x:v>
      </x:c>
      <x:c r="H694" s="11" t="n">
        <x:v>633</x:v>
      </x:c>
      <x:c r="I694" s="11" t="n">
        <x:v>5</x:v>
      </x:c>
      <x:c r="J694" s="11" t="n">
        <x:v>253</x:v>
      </x:c>
      <x:c r="K694" s="9" t="str">
        <x:v>Пт</x:v>
      </x:c>
      <x:c r="L694" s="10" t="n">
        <x:v>34.99</x:v>
      </x:c>
      <x:c r="M694" s="31" t="n">
        <x:v>21512.6</x:v>
      </x:c>
    </x:row>
    <x:row r="695" ht="23" customHeight="1">
      <x:c r="A695" s="12" t="n">
        <x:v>10690</x:v>
      </x:c>
      <x:c r="B695" s="32" t="n">
        <x:v>48.9</x:v>
      </x:c>
      <x:c r="C695" s="32" t="n">
        <x:v>30.9</x:v>
      </x:c>
      <x:c r="D695" s="12" t="n">
        <x:v>2</x:v>
      </x:c>
      <x:c r="E695" s="12" t="n">
        <x:v>12</x:v>
      </x:c>
      <x:c r="F695" s="12" t="n">
        <x:v>2014</x:v>
      </x:c>
      <x:c r="G695" s="32" t="n">
        <x:v>26.3</x:v>
      </x:c>
      <x:c r="H695" s="12" t="n">
        <x:v>2160</x:v>
      </x:c>
      <x:c r="I695" s="12" t="n">
        <x:v>5</x:v>
      </x:c>
      <x:c r="J695" s="12" t="n">
        <x:v>539</x:v>
      </x:c>
      <x:c r="K695" s="3" t="str">
        <x:v>Вт</x:v>
      </x:c>
      <x:c r="L695" s="8" t="n">
        <x:v>72.06</x:v>
      </x:c>
      <x:c r="M695" s="32" t="n">
        <x:v>10076.7</x:v>
      </x:c>
    </x:row>
    <x:row r="696" ht="23" customHeight="1">
      <x:c r="A696" s="11" t="n">
        <x:v>10691</x:v>
      </x:c>
      <x:c r="B696" s="31" t="n">
        <x:v>64.3</x:v>
      </x:c>
      <x:c r="C696" s="31" t="n">
        <x:v>37.6</x:v>
      </x:c>
      <x:c r="D696" s="11" t="n">
        <x:v>3</x:v>
      </x:c>
      <x:c r="E696" s="11" t="n">
        <x:v>2</x:v>
      </x:c>
      <x:c r="F696" s="11" t="n">
        <x:v>1988</x:v>
      </x:c>
      <x:c r="G696" s="31" t="n">
        <x:v>11.5</x:v>
      </x:c>
      <x:c r="H696" s="11" t="n">
        <x:v>905</x:v>
      </x:c>
      <x:c r="I696" s="11" t="n">
        <x:v>9</x:v>
      </x:c>
      <x:c r="J696" s="11" t="n">
        <x:v>839</x:v>
      </x:c>
      <x:c r="K696" s="9" t="str">
        <x:v>Вс</x:v>
      </x:c>
      <x:c r="L696" s="10" t="n">
        <x:v>63.11</x:v>
      </x:c>
      <x:c r="M696" s="31" t="n">
        <x:v>12714.5</x:v>
      </x:c>
    </x:row>
    <x:row r="697" ht="23" customHeight="1">
      <x:c r="A697" s="12" t="n">
        <x:v>10692</x:v>
      </x:c>
      <x:c r="B697" s="32" t="n">
        <x:v>75.6</x:v>
      </x:c>
      <x:c r="C697" s="32" t="n">
        <x:v>51.2</x:v>
      </x:c>
      <x:c r="D697" s="12" t="n">
        <x:v>3</x:v>
      </x:c>
      <x:c r="E697" s="12" t="n">
        <x:v>24</x:v>
      </x:c>
      <x:c r="F697" s="12" t="n">
        <x:v>1980</x:v>
      </x:c>
      <x:c r="G697" s="32" t="n">
        <x:v>28.5</x:v>
      </x:c>
      <x:c r="H697" s="12" t="n">
        <x:v>2353</x:v>
      </x:c>
      <x:c r="I697" s="12" t="n">
        <x:v>3</x:v>
      </x:c>
      <x:c r="J697" s="12" t="n">
        <x:v>363</x:v>
      </x:c>
      <x:c r="K697" s="3" t="str">
        <x:v>Ср</x:v>
      </x:c>
      <x:c r="L697" s="8" t="n">
        <x:v>38</x:v>
      </x:c>
      <x:c r="M697" s="32" t="n">
        <x:v>12606.1</x:v>
      </x:c>
    </x:row>
    <x:row r="698" ht="23" customHeight="1">
      <x:c r="A698" s="11" t="n">
        <x:v>10693</x:v>
      </x:c>
      <x:c r="B698" s="31" t="n">
        <x:v>84.9</x:v>
      </x:c>
      <x:c r="C698" s="31" t="n">
        <x:v>54</x:v>
      </x:c>
      <x:c r="D698" s="11" t="n">
        <x:v>4</x:v>
      </x:c>
      <x:c r="E698" s="11" t="n">
        <x:v>2</x:v>
      </x:c>
      <x:c r="F698" s="11" t="n">
        <x:v>1982</x:v>
      </x:c>
      <x:c r="G698" s="31" t="n">
        <x:v>34.9</x:v>
      </x:c>
      <x:c r="H698" s="11" t="n">
        <x:v>2868</x:v>
      </x:c>
      <x:c r="I698" s="11" t="n">
        <x:v>3</x:v>
      </x:c>
      <x:c r="J698" s="11" t="n">
        <x:v>834</x:v>
      </x:c>
      <x:c r="K698" s="9" t="str">
        <x:v>Вт</x:v>
      </x:c>
      <x:c r="L698" s="10" t="n">
        <x:v>46.31</x:v>
      </x:c>
      <x:c r="M698" s="31" t="n">
        <x:v>12913.1</x:v>
      </x:c>
    </x:row>
    <x:row r="699" ht="23" customHeight="1">
      <x:c r="A699" s="12" t="n">
        <x:v>10694</x:v>
      </x:c>
      <x:c r="B699" s="32" t="n">
        <x:v>55.1</x:v>
      </x:c>
      <x:c r="C699" s="32" t="n">
        <x:v>34.9</x:v>
      </x:c>
      <x:c r="D699" s="12" t="n">
        <x:v>2</x:v>
      </x:c>
      <x:c r="E699" s="12" t="n">
        <x:v>23</x:v>
      </x:c>
      <x:c r="F699" s="12" t="n">
        <x:v>2022</x:v>
      </x:c>
      <x:c r="G699" s="32" t="n">
        <x:v>3</x:v>
      </x:c>
      <x:c r="H699" s="12" t="n">
        <x:v>236</x:v>
      </x:c>
      <x:c r="I699" s="12" t="n">
        <x:v>7</x:v>
      </x:c>
      <x:c r="J699" s="12" t="n">
        <x:v>520</x:v>
      </x:c>
      <x:c r="K699" s="3" t="str">
        <x:v>Пн</x:v>
      </x:c>
      <x:c r="L699" s="8" t="n">
        <x:v>72.74</x:v>
      </x:c>
      <x:c r="M699" s="32" t="n">
        <x:v>13474.3</x:v>
      </x:c>
    </x:row>
    <x:row r="700" ht="23" customHeight="1">
      <x:c r="A700" s="11" t="n">
        <x:v>10695</x:v>
      </x:c>
      <x:c r="B700" s="31" t="n">
        <x:v>40.9</x:v>
      </x:c>
      <x:c r="C700" s="31" t="n">
        <x:v>26.9</x:v>
      </x:c>
      <x:c r="D700" s="11" t="n">
        <x:v>2</x:v>
      </x:c>
      <x:c r="E700" s="11" t="n">
        <x:v>9</x:v>
      </x:c>
      <x:c r="F700" s="11" t="n">
        <x:v>1977</x:v>
      </x:c>
      <x:c r="G700" s="31" t="n">
        <x:v>31.6</x:v>
      </x:c>
      <x:c r="H700" s="11" t="n">
        <x:v>2478</x:v>
      </x:c>
      <x:c r="I700" s="11" t="n">
        <x:v>9</x:v>
      </x:c>
      <x:c r="J700" s="11" t="n">
        <x:v>592</x:v>
      </x:c>
      <x:c r="K700" s="9" t="str">
        <x:v>Сб</x:v>
      </x:c>
      <x:c r="L700" s="10" t="n">
        <x:v>26.59</x:v>
      </x:c>
      <x:c r="M700" s="31" t="n">
        <x:v>6649.6</x:v>
      </x:c>
    </x:row>
    <x:row r="701" ht="23" customHeight="1">
      <x:c r="A701" s="12" t="n">
        <x:v>10696</x:v>
      </x:c>
      <x:c r="B701" s="32" t="n">
        <x:v>96.4</x:v>
      </x:c>
      <x:c r="C701" s="32" t="n">
        <x:v>52.7</x:v>
      </x:c>
      <x:c r="D701" s="12" t="n">
        <x:v>3</x:v>
      </x:c>
      <x:c r="E701" s="12" t="n">
        <x:v>1</x:v>
      </x:c>
      <x:c r="F701" s="12" t="n">
        <x:v>2009</x:v>
      </x:c>
      <x:c r="G701" s="32" t="n">
        <x:v>22.5</x:v>
      </x:c>
      <x:c r="H701" s="12" t="n">
        <x:v>1696</x:v>
      </x:c>
      <x:c r="I701" s="12" t="n">
        <x:v>6</x:v>
      </x:c>
      <x:c r="J701" s="12" t="n">
        <x:v>732</x:v>
      </x:c>
      <x:c r="K701" s="3" t="str">
        <x:v>Чт</x:v>
      </x:c>
      <x:c r="L701" s="8" t="n">
        <x:v>70.71</x:v>
      </x:c>
      <x:c r="M701" s="32" t="n">
        <x:v>18392</x:v>
      </x:c>
    </x:row>
    <x:row r="702" ht="23" customHeight="1">
      <x:c r="A702" s="11" t="n">
        <x:v>10697</x:v>
      </x:c>
      <x:c r="B702" s="31" t="n">
        <x:v>60.3</x:v>
      </x:c>
      <x:c r="C702" s="31" t="n">
        <x:v>37.2</x:v>
      </x:c>
      <x:c r="D702" s="11" t="n">
        <x:v>2</x:v>
      </x:c>
      <x:c r="E702" s="11" t="n">
        <x:v>8</x:v>
      </x:c>
      <x:c r="F702" s="11" t="n">
        <x:v>1973</x:v>
      </x:c>
      <x:c r="G702" s="31" t="n">
        <x:v>34.1</x:v>
      </x:c>
      <x:c r="H702" s="11" t="n">
        <x:v>2654</x:v>
      </x:c>
      <x:c r="I702" s="11" t="n">
        <x:v>2</x:v>
      </x:c>
      <x:c r="J702" s="11" t="n">
        <x:v>510</x:v>
      </x:c>
      <x:c r="K702" s="9" t="str">
        <x:v>Пн</x:v>
      </x:c>
      <x:c r="L702" s="10" t="n">
        <x:v>62.7</x:v>
      </x:c>
      <x:c r="M702" s="31" t="n">
        <x:v>9292.7</x:v>
      </x:c>
    </x:row>
    <x:row r="703" ht="23" customHeight="1">
      <x:c r="A703" s="12" t="n">
        <x:v>10698</x:v>
      </x:c>
      <x:c r="B703" s="32" t="n">
        <x:v>93.1</x:v>
      </x:c>
      <x:c r="C703" s="32" t="n">
        <x:v>60.7</x:v>
      </x:c>
      <x:c r="D703" s="12" t="n">
        <x:v>4</x:v>
      </x:c>
      <x:c r="E703" s="12" t="n">
        <x:v>23</x:v>
      </x:c>
      <x:c r="F703" s="12" t="n">
        <x:v>2016</x:v>
      </x:c>
      <x:c r="G703" s="32" t="n">
        <x:v>17.3</x:v>
      </x:c>
      <x:c r="H703" s="12" t="n">
        <x:v>1315</x:v>
      </x:c>
      <x:c r="I703" s="12" t="n">
        <x:v>1</x:v>
      </x:c>
      <x:c r="J703" s="12" t="n">
        <x:v>272</x:v>
      </x:c>
      <x:c r="K703" s="3" t="str">
        <x:v>Пт</x:v>
      </x:c>
      <x:c r="L703" s="8" t="n">
        <x:v>57.64</x:v>
      </x:c>
      <x:c r="M703" s="32" t="n">
        <x:v>18602.1</x:v>
      </x:c>
    </x:row>
    <x:row r="704" ht="23" customHeight="1">
      <x:c r="A704" s="11" t="n">
        <x:v>10699</x:v>
      </x:c>
      <x:c r="B704" s="31" t="n">
        <x:v>45.3</x:v>
      </x:c>
      <x:c r="C704" s="31" t="n">
        <x:v>30.5</x:v>
      </x:c>
      <x:c r="D704" s="11" t="n">
        <x:v>2</x:v>
      </x:c>
      <x:c r="E704" s="11" t="n">
        <x:v>6</x:v>
      </x:c>
      <x:c r="F704" s="11" t="n">
        <x:v>2000</x:v>
      </x:c>
      <x:c r="G704" s="31" t="n">
        <x:v>30</x:v>
      </x:c>
      <x:c r="H704" s="11" t="n">
        <x:v>2469</x:v>
      </x:c>
      <x:c r="I704" s="11" t="n">
        <x:v>2</x:v>
      </x:c>
      <x:c r="J704" s="11" t="n">
        <x:v>103</x:v>
      </x:c>
      <x:c r="K704" s="9" t="str">
        <x:v>Чт</x:v>
      </x:c>
      <x:c r="L704" s="10" t="n">
        <x:v>51.98</x:v>
      </x:c>
      <x:c r="M704" s="31" t="n">
        <x:v>7815</x:v>
      </x:c>
    </x:row>
    <x:row r="705" ht="23" customHeight="1">
      <x:c r="A705" s="12" t="n">
        <x:v>10700</x:v>
      </x:c>
      <x:c r="B705" s="32" t="n">
        <x:v>81.9</x:v>
      </x:c>
      <x:c r="C705" s="32" t="n">
        <x:v>55.1</x:v>
      </x:c>
      <x:c r="D705" s="12" t="n">
        <x:v>3</x:v>
      </x:c>
      <x:c r="E705" s="12" t="n">
        <x:v>6</x:v>
      </x:c>
      <x:c r="F705" s="12" t="n">
        <x:v>1997</x:v>
      </x:c>
      <x:c r="G705" s="32" t="n">
        <x:v>4.1</x:v>
      </x:c>
      <x:c r="H705" s="12" t="n">
        <x:v>334</x:v>
      </x:c>
      <x:c r="I705" s="12" t="n">
        <x:v>1</x:v>
      </x:c>
      <x:c r="J705" s="12" t="n">
        <x:v>953</x:v>
      </x:c>
      <x:c r="K705" s="3" t="str">
        <x:v>Ср</x:v>
      </x:c>
      <x:c r="L705" s="8" t="n">
        <x:v>79.55</x:v>
      </x:c>
      <x:c r="M705" s="32" t="n">
        <x:v>16709.5</x:v>
      </x:c>
    </x:row>
    <x:row r="706" ht="23" customHeight="1">
      <x:c r="A706" s="11" t="n">
        <x:v>10701</x:v>
      </x:c>
      <x:c r="B706" s="31" t="n">
        <x:v>87.7</x:v>
      </x:c>
      <x:c r="C706" s="31" t="n">
        <x:v>54.6</x:v>
      </x:c>
      <x:c r="D706" s="11" t="n">
        <x:v>4</x:v>
      </x:c>
      <x:c r="E706" s="11" t="n">
        <x:v>22</x:v>
      </x:c>
      <x:c r="F706" s="11" t="n">
        <x:v>1980</x:v>
      </x:c>
      <x:c r="G706" s="31" t="n">
        <x:v>13.1</x:v>
      </x:c>
      <x:c r="H706" s="11" t="n">
        <x:v>1067</x:v>
      </x:c>
      <x:c r="I706" s="11" t="n">
        <x:v>9</x:v>
      </x:c>
      <x:c r="J706" s="11" t="n">
        <x:v>739</x:v>
      </x:c>
      <x:c r="K706" s="9" t="str">
        <x:v>Чт</x:v>
      </x:c>
      <x:c r="L706" s="10" t="n">
        <x:v>81.77</x:v>
      </x:c>
      <x:c r="M706" s="31" t="n">
        <x:v>16844.8</x:v>
      </x:c>
    </x:row>
    <x:row r="707" ht="23" customHeight="1">
      <x:c r="A707" s="12" t="n">
        <x:v>10702</x:v>
      </x:c>
      <x:c r="B707" s="32" t="n">
        <x:v>33.8</x:v>
      </x:c>
      <x:c r="C707" s="32" t="n">
        <x:v>22.8</x:v>
      </x:c>
      <x:c r="D707" s="12" t="n">
        <x:v>2</x:v>
      </x:c>
      <x:c r="E707" s="12" t="n">
        <x:v>25</x:v>
      </x:c>
      <x:c r="F707" s="12" t="n">
        <x:v>2012</x:v>
      </x:c>
      <x:c r="G707" s="32" t="n">
        <x:v>4.2</x:v>
      </x:c>
      <x:c r="H707" s="12" t="n">
        <x:v>225</x:v>
      </x:c>
      <x:c r="I707" s="12" t="n">
        <x:v>8</x:v>
      </x:c>
      <x:c r="J707" s="12" t="n">
        <x:v>571</x:v>
      </x:c>
      <x:c r="K707" s="3" t="str">
        <x:v>Сб</x:v>
      </x:c>
      <x:c r="L707" s="8" t="n">
        <x:v>40.77</x:v>
      </x:c>
      <x:c r="M707" s="32" t="n">
        <x:v>9860.6</x:v>
      </x:c>
    </x:row>
    <x:row r="708" ht="23" customHeight="1">
      <x:c r="A708" s="11" t="n">
        <x:v>10703</x:v>
      </x:c>
      <x:c r="B708" s="31" t="n">
        <x:v>65.7</x:v>
      </x:c>
      <x:c r="C708" s="31" t="n">
        <x:v>37.8</x:v>
      </x:c>
      <x:c r="D708" s="11" t="n">
        <x:v>3</x:v>
      </x:c>
      <x:c r="E708" s="11" t="n">
        <x:v>18</x:v>
      </x:c>
      <x:c r="F708" s="11" t="n">
        <x:v>1970</x:v>
      </x:c>
      <x:c r="G708" s="31" t="n">
        <x:v>34.2</x:v>
      </x:c>
      <x:c r="H708" s="11" t="n">
        <x:v>2676</x:v>
      </x:c>
      <x:c r="I708" s="11" t="n">
        <x:v>7</x:v>
      </x:c>
      <x:c r="J708" s="11" t="n">
        <x:v>209</x:v>
      </x:c>
      <x:c r="K708" s="9" t="str">
        <x:v>Вс</x:v>
      </x:c>
      <x:c r="L708" s="10" t="n">
        <x:v>59.18</x:v>
      </x:c>
      <x:c r="M708" s="31" t="n">
        <x:v>9990.7</x:v>
      </x:c>
    </x:row>
    <x:row r="709" ht="23" customHeight="1">
      <x:c r="A709" s="12" t="n">
        <x:v>10704</x:v>
      </x:c>
      <x:c r="B709" s="32" t="n">
        <x:v>43.1</x:v>
      </x:c>
      <x:c r="C709" s="32" t="n">
        <x:v>28.6</x:v>
      </x:c>
      <x:c r="D709" s="12" t="n">
        <x:v>2</x:v>
      </x:c>
      <x:c r="E709" s="12" t="n">
        <x:v>17</x:v>
      </x:c>
      <x:c r="F709" s="12" t="n">
        <x:v>2018</x:v>
      </x:c>
      <x:c r="G709" s="32" t="n">
        <x:v>29</x:v>
      </x:c>
      <x:c r="H709" s="12" t="n">
        <x:v>2364</x:v>
      </x:c>
      <x:c r="I709" s="12" t="n">
        <x:v>3</x:v>
      </x:c>
      <x:c r="J709" s="12" t="n">
        <x:v>966</x:v>
      </x:c>
      <x:c r="K709" s="3" t="str">
        <x:v>Вт</x:v>
      </x:c>
      <x:c r="L709" s="8" t="n">
        <x:v>78.12</x:v>
      </x:c>
      <x:c r="M709" s="32" t="n">
        <x:v>9928.8</x:v>
      </x:c>
    </x:row>
    <x:row r="710" ht="23" customHeight="1">
      <x:c r="A710" s="11" t="n">
        <x:v>10705</x:v>
      </x:c>
      <x:c r="B710" s="31" t="n">
        <x:v>35.1</x:v>
      </x:c>
      <x:c r="C710" s="31" t="n">
        <x:v>23.1</x:v>
      </x:c>
      <x:c r="D710" s="11" t="n">
        <x:v>1</x:v>
      </x:c>
      <x:c r="E710" s="11" t="n">
        <x:v>12</x:v>
      </x:c>
      <x:c r="F710" s="11" t="n">
        <x:v>2016</x:v>
      </x:c>
      <x:c r="G710" s="31" t="n">
        <x:v>30.1</x:v>
      </x:c>
      <x:c r="H710" s="11" t="n">
        <x:v>2422</x:v>
      </x:c>
      <x:c r="I710" s="11" t="n">
        <x:v>8</x:v>
      </x:c>
      <x:c r="J710" s="11" t="n">
        <x:v>136</x:v>
      </x:c>
      <x:c r="K710" s="9" t="str">
        <x:v>Сб</x:v>
      </x:c>
      <x:c r="L710" s="10" t="n">
        <x:v>38.22</x:v>
      </x:c>
      <x:c r="M710" s="31" t="n">
        <x:v>7134.6</x:v>
      </x:c>
    </x:row>
    <x:row r="711" ht="23" customHeight="1">
      <x:c r="A711" s="12" t="n">
        <x:v>10706</x:v>
      </x:c>
      <x:c r="B711" s="32" t="n">
        <x:v>138.9</x:v>
      </x:c>
      <x:c r="C711" s="32" t="n">
        <x:v>79.2</x:v>
      </x:c>
      <x:c r="D711" s="12" t="n">
        <x:v>5</x:v>
      </x:c>
      <x:c r="E711" s="12" t="n">
        <x:v>6</x:v>
      </x:c>
      <x:c r="F711" s="12" t="n">
        <x:v>2021</x:v>
      </x:c>
      <x:c r="G711" s="32" t="n">
        <x:v>33</x:v>
      </x:c>
      <x:c r="H711" s="12" t="n">
        <x:v>2633</x:v>
      </x:c>
      <x:c r="I711" s="12" t="n">
        <x:v>2</x:v>
      </x:c>
      <x:c r="J711" s="12" t="n">
        <x:v>682</x:v>
      </x:c>
      <x:c r="K711" s="3" t="str">
        <x:v>Вс</x:v>
      </x:c>
      <x:c r="L711" s="8" t="n">
        <x:v>53.65</x:v>
      </x:c>
      <x:c r="M711" s="32" t="n">
        <x:v>24931.4</x:v>
      </x:c>
    </x:row>
    <x:row r="712" ht="23" customHeight="1">
      <x:c r="A712" s="11" t="n">
        <x:v>10707</x:v>
      </x:c>
      <x:c r="B712" s="31" t="n">
        <x:v>64.1</x:v>
      </x:c>
      <x:c r="C712" s="31" t="n">
        <x:v>41.5</x:v>
      </x:c>
      <x:c r="D712" s="11" t="n">
        <x:v>2</x:v>
      </x:c>
      <x:c r="E712" s="11" t="n">
        <x:v>8</x:v>
      </x:c>
      <x:c r="F712" s="11" t="n">
        <x:v>2007</x:v>
      </x:c>
      <x:c r="G712" s="31" t="n">
        <x:v>4.8</x:v>
      </x:c>
      <x:c r="H712" s="11" t="n">
        <x:v>412</x:v>
      </x:c>
      <x:c r="I712" s="11" t="n">
        <x:v>2</x:v>
      </x:c>
      <x:c r="J712" s="11" t="n">
        <x:v>900</x:v>
      </x:c>
      <x:c r="K712" s="9" t="str">
        <x:v>Сб</x:v>
      </x:c>
      <x:c r="L712" s="10" t="n">
        <x:v>65.06</x:v>
      </x:c>
      <x:c r="M712" s="31" t="n">
        <x:v>14750.6</x:v>
      </x:c>
    </x:row>
    <x:row r="713" ht="23" customHeight="1">
      <x:c r="A713" s="12" t="n">
        <x:v>10708</x:v>
      </x:c>
      <x:c r="B713" s="32" t="n">
        <x:v>118.7</x:v>
      </x:c>
      <x:c r="C713" s="32" t="n">
        <x:v>66.5</x:v>
      </x:c>
      <x:c r="D713" s="12" t="n">
        <x:v>5</x:v>
      </x:c>
      <x:c r="E713" s="12" t="n">
        <x:v>19</x:v>
      </x:c>
      <x:c r="F713" s="12" t="n">
        <x:v>1993</x:v>
      </x:c>
      <x:c r="G713" s="32" t="n">
        <x:v>14.7</x:v>
      </x:c>
      <x:c r="H713" s="12" t="n">
        <x:v>1258</x:v>
      </x:c>
      <x:c r="I713" s="12" t="n">
        <x:v>3</x:v>
      </x:c>
      <x:c r="J713" s="12" t="n">
        <x:v>130</x:v>
      </x:c>
      <x:c r="K713" s="3" t="str">
        <x:v>Вт</x:v>
      </x:c>
      <x:c r="L713" s="8" t="n">
        <x:v>19.78</x:v>
      </x:c>
      <x:c r="M713" s="32" t="n">
        <x:v>21373.8</x:v>
      </x:c>
    </x:row>
    <x:row r="714" ht="23" customHeight="1">
      <x:c r="A714" s="11" t="n">
        <x:v>10709</x:v>
      </x:c>
      <x:c r="B714" s="31" t="n">
        <x:v>56.5</x:v>
      </x:c>
      <x:c r="C714" s="31" t="n">
        <x:v>38</x:v>
      </x:c>
      <x:c r="D714" s="11" t="n">
        <x:v>2</x:v>
      </x:c>
      <x:c r="E714" s="11" t="n">
        <x:v>10</x:v>
      </x:c>
      <x:c r="F714" s="11" t="n">
        <x:v>2023</x:v>
      </x:c>
      <x:c r="G714" s="31" t="n">
        <x:v>4.3</x:v>
      </x:c>
      <x:c r="H714" s="11" t="n">
        <x:v>333</x:v>
      </x:c>
      <x:c r="I714" s="11" t="n">
        <x:v>7</x:v>
      </x:c>
      <x:c r="J714" s="11" t="n">
        <x:v>480</x:v>
      </x:c>
      <x:c r="K714" s="9" t="str">
        <x:v>Чт</x:v>
      </x:c>
      <x:c r="L714" s="10" t="n">
        <x:v>62.43</x:v>
      </x:c>
      <x:c r="M714" s="31" t="n">
        <x:v>13780</x:v>
      </x:c>
    </x:row>
    <x:row r="715" ht="23" customHeight="1">
      <x:c r="A715" s="12" t="n">
        <x:v>10710</x:v>
      </x:c>
      <x:c r="B715" s="32" t="n">
        <x:v>104.3</x:v>
      </x:c>
      <x:c r="C715" s="32" t="n">
        <x:v>64.4</x:v>
      </x:c>
      <x:c r="D715" s="12" t="n">
        <x:v>4</x:v>
      </x:c>
      <x:c r="E715" s="12" t="n">
        <x:v>1</x:v>
      </x:c>
      <x:c r="F715" s="12" t="n">
        <x:v>2016</x:v>
      </x:c>
      <x:c r="G715" s="32" t="n">
        <x:v>9</x:v>
      </x:c>
      <x:c r="H715" s="12" t="n">
        <x:v>723</x:v>
      </x:c>
      <x:c r="I715" s="12" t="n">
        <x:v>1</x:v>
      </x:c>
      <x:c r="J715" s="12" t="n">
        <x:v>367</x:v>
      </x:c>
      <x:c r="K715" s="3" t="str">
        <x:v>Пт</x:v>
      </x:c>
      <x:c r="L715" s="8" t="n">
        <x:v>33.67</x:v>
      </x:c>
      <x:c r="M715" s="32" t="n">
        <x:v>20954.7</x:v>
      </x:c>
    </x:row>
    <x:row r="716" ht="23" customHeight="1">
      <x:c r="A716" s="11" t="n">
        <x:v>10711</x:v>
      </x:c>
      <x:c r="B716" s="31" t="n">
        <x:v>113.1</x:v>
      </x:c>
      <x:c r="C716" s="31" t="n">
        <x:v>71.4</x:v>
      </x:c>
      <x:c r="D716" s="11" t="n">
        <x:v>5</x:v>
      </x:c>
      <x:c r="E716" s="11" t="n">
        <x:v>25</x:v>
      </x:c>
      <x:c r="F716" s="11" t="n">
        <x:v>2000</x:v>
      </x:c>
      <x:c r="G716" s="31" t="n">
        <x:v>9.6</x:v>
      </x:c>
      <x:c r="H716" s="11" t="n">
        <x:v>778</x:v>
      </x:c>
      <x:c r="I716" s="11" t="n">
        <x:v>8</x:v>
      </x:c>
      <x:c r="J716" s="11" t="n">
        <x:v>110</x:v>
      </x:c>
      <x:c r="K716" s="9" t="str">
        <x:v>Вт</x:v>
      </x:c>
      <x:c r="L716" s="10" t="n">
        <x:v>52.88</x:v>
      </x:c>
      <x:c r="M716" s="31" t="n">
        <x:v>22882.2</x:v>
      </x:c>
    </x:row>
    <x:row r="717" ht="23" customHeight="1">
      <x:c r="A717" s="12" t="n">
        <x:v>10712</x:v>
      </x:c>
      <x:c r="B717" s="32" t="n">
        <x:v>94.7</x:v>
      </x:c>
      <x:c r="C717" s="32" t="n">
        <x:v>65.3</x:v>
      </x:c>
      <x:c r="D717" s="12" t="n">
        <x:v>4</x:v>
      </x:c>
      <x:c r="E717" s="12" t="n">
        <x:v>13</x:v>
      </x:c>
      <x:c r="F717" s="12" t="n">
        <x:v>2010</x:v>
      </x:c>
      <x:c r="G717" s="32" t="n">
        <x:v>17.5</x:v>
      </x:c>
      <x:c r="H717" s="12" t="n">
        <x:v>1520</x:v>
      </x:c>
      <x:c r="I717" s="12" t="n">
        <x:v>7</x:v>
      </x:c>
      <x:c r="J717" s="12" t="n">
        <x:v>443</x:v>
      </x:c>
      <x:c r="K717" s="3" t="str">
        <x:v>Вт</x:v>
      </x:c>
      <x:c r="L717" s="8" t="n">
        <x:v>67.17</x:v>
      </x:c>
      <x:c r="M717" s="32" t="n">
        <x:v>18742.2</x:v>
      </x:c>
    </x:row>
    <x:row r="718" ht="23" customHeight="1">
      <x:c r="A718" s="11" t="n">
        <x:v>10713</x:v>
      </x:c>
      <x:c r="B718" s="31" t="n">
        <x:v>80.8</x:v>
      </x:c>
      <x:c r="C718" s="31" t="n">
        <x:v>53.2</x:v>
      </x:c>
      <x:c r="D718" s="11" t="n">
        <x:v>3</x:v>
      </x:c>
      <x:c r="E718" s="11" t="n">
        <x:v>17</x:v>
      </x:c>
      <x:c r="F718" s="11" t="n">
        <x:v>2015</x:v>
      </x:c>
      <x:c r="G718" s="31" t="n">
        <x:v>10.9</x:v>
      </x:c>
      <x:c r="H718" s="11" t="n">
        <x:v>767</x:v>
      </x:c>
      <x:c r="I718" s="11" t="n">
        <x:v>4</x:v>
      </x:c>
      <x:c r="J718" s="11" t="n">
        <x:v>939</x:v>
      </x:c>
      <x:c r="K718" s="9" t="str">
        <x:v>Вс</x:v>
      </x:c>
      <x:c r="L718" s="10" t="n">
        <x:v>14.16</x:v>
      </x:c>
      <x:c r="M718" s="31" t="n">
        <x:v>17032.1</x:v>
      </x:c>
    </x:row>
    <x:row r="719" ht="23" customHeight="1">
      <x:c r="A719" s="12" t="n">
        <x:v>10714</x:v>
      </x:c>
      <x:c r="B719" s="32" t="n">
        <x:v>74.1</x:v>
      </x:c>
      <x:c r="C719" s="32" t="n">
        <x:v>46.5</x:v>
      </x:c>
      <x:c r="D719" s="12" t="n">
        <x:v>4</x:v>
      </x:c>
      <x:c r="E719" s="12" t="n">
        <x:v>3</x:v>
      </x:c>
      <x:c r="F719" s="12" t="n">
        <x:v>2019</x:v>
      </x:c>
      <x:c r="G719" s="32" t="n">
        <x:v>5.3</x:v>
      </x:c>
      <x:c r="H719" s="12" t="n">
        <x:v>458</x:v>
      </x:c>
      <x:c r="I719" s="12" t="n">
        <x:v>5</x:v>
      </x:c>
      <x:c r="J719" s="12" t="n">
        <x:v>643</x:v>
      </x:c>
      <x:c r="K719" s="3" t="str">
        <x:v>Ср</x:v>
      </x:c>
      <x:c r="L719" s="8" t="n">
        <x:v>61.79</x:v>
      </x:c>
      <x:c r="M719" s="32" t="n">
        <x:v>16527.2</x:v>
      </x:c>
    </x:row>
    <x:row r="720" ht="23" customHeight="1">
      <x:c r="A720" s="11" t="n">
        <x:v>10715</x:v>
      </x:c>
      <x:c r="B720" s="31" t="n">
        <x:v>67.1</x:v>
      </x:c>
      <x:c r="C720" s="31" t="n">
        <x:v>47</x:v>
      </x:c>
      <x:c r="D720" s="11" t="n">
        <x:v>3</x:v>
      </x:c>
      <x:c r="E720" s="11" t="n">
        <x:v>8</x:v>
      </x:c>
      <x:c r="F720" s="11" t="n">
        <x:v>1995</x:v>
      </x:c>
      <x:c r="G720" s="31" t="n">
        <x:v>7.5</x:v>
      </x:c>
      <x:c r="H720" s="11" t="n">
        <x:v>594</x:v>
      </x:c>
      <x:c r="I720" s="11" t="n">
        <x:v>1</x:v>
      </x:c>
      <x:c r="J720" s="11" t="n">
        <x:v>668</x:v>
      </x:c>
      <x:c r="K720" s="9" t="str">
        <x:v>Чт</x:v>
      </x:c>
      <x:c r="L720" s="10" t="n">
        <x:v>80.57</x:v>
      </x:c>
      <x:c r="M720" s="31" t="n">
        <x:v>13340</x:v>
      </x:c>
    </x:row>
    <x:row r="721" ht="23" customHeight="1">
      <x:c r="A721" s="12" t="n">
        <x:v>10716</x:v>
      </x:c>
      <x:c r="B721" s="32" t="n">
        <x:v>132.1</x:v>
      </x:c>
      <x:c r="C721" s="32" t="n">
        <x:v>87.9</x:v>
      </x:c>
      <x:c r="D721" s="12" t="n">
        <x:v>5</x:v>
      </x:c>
      <x:c r="E721" s="12" t="n">
        <x:v>14</x:v>
      </x:c>
      <x:c r="F721" s="12" t="n">
        <x:v>2018</x:v>
      </x:c>
      <x:c r="G721" s="32" t="n">
        <x:v>6.9</x:v>
      </x:c>
      <x:c r="H721" s="12" t="n">
        <x:v>580</x:v>
      </x:c>
      <x:c r="I721" s="12" t="n">
        <x:v>4</x:v>
      </x:c>
      <x:c r="J721" s="12" t="n">
        <x:v>265</x:v>
      </x:c>
      <x:c r="K721" s="3" t="str">
        <x:v>Вт</x:v>
      </x:c>
      <x:c r="L721" s="8" t="n">
        <x:v>42</x:v>
      </x:c>
      <x:c r="M721" s="32" t="n">
        <x:v>26837.1</x:v>
      </x:c>
    </x:row>
    <x:row r="722" ht="23" customHeight="1">
      <x:c r="A722" s="11" t="n">
        <x:v>10717</x:v>
      </x:c>
      <x:c r="B722" s="31" t="n">
        <x:v>121</x:v>
      </x:c>
      <x:c r="C722" s="31" t="n">
        <x:v>63.4</x:v>
      </x:c>
      <x:c r="D722" s="11" t="n">
        <x:v>5</x:v>
      </x:c>
      <x:c r="E722" s="11" t="n">
        <x:v>3</x:v>
      </x:c>
      <x:c r="F722" s="11" t="n">
        <x:v>2019</x:v>
      </x:c>
      <x:c r="G722" s="31" t="n">
        <x:v>34.1</x:v>
      </x:c>
      <x:c r="H722" s="11" t="n">
        <x:v>2695</x:v>
      </x:c>
      <x:c r="I722" s="11" t="n">
        <x:v>1</x:v>
      </x:c>
      <x:c r="J722" s="11" t="n">
        <x:v>799</x:v>
      </x:c>
      <x:c r="K722" s="9" t="str">
        <x:v>Пт</x:v>
      </x:c>
      <x:c r="L722" s="10" t="n">
        <x:v>58.65</x:v>
      </x:c>
      <x:c r="M722" s="31" t="n">
        <x:v>21095.4</x:v>
      </x:c>
    </x:row>
    <x:row r="723" ht="23" customHeight="1">
      <x:c r="A723" s="12" t="n">
        <x:v>10718</x:v>
      </x:c>
      <x:c r="B723" s="32" t="n">
        <x:v>136.1</x:v>
      </x:c>
      <x:c r="C723" s="32" t="n">
        <x:v>94.2</x:v>
      </x:c>
      <x:c r="D723" s="12" t="n">
        <x:v>5</x:v>
      </x:c>
      <x:c r="E723" s="12" t="n">
        <x:v>16</x:v>
      </x:c>
      <x:c r="F723" s="12" t="n">
        <x:v>1974</x:v>
      </x:c>
      <x:c r="G723" s="32" t="n">
        <x:v>27.1</x:v>
      </x:c>
      <x:c r="H723" s="12" t="n">
        <x:v>2166</x:v>
      </x:c>
      <x:c r="I723" s="12" t="n">
        <x:v>1</x:v>
      </x:c>
      <x:c r="J723" s="12" t="n">
        <x:v>441</x:v>
      </x:c>
      <x:c r="K723" s="3" t="str">
        <x:v>Пн</x:v>
      </x:c>
      <x:c r="L723" s="8" t="n">
        <x:v>70.03</x:v>
      </x:c>
      <x:c r="M723" s="32" t="n">
        <x:v>23404.3</x:v>
      </x:c>
    </x:row>
    <x:row r="724" ht="23" customHeight="1">
      <x:c r="A724" s="11" t="n">
        <x:v>10719</x:v>
      </x:c>
      <x:c r="B724" s="31" t="n">
        <x:v>41.9</x:v>
      </x:c>
      <x:c r="C724" s="31" t="n">
        <x:v>25.2</x:v>
      </x:c>
      <x:c r="D724" s="11" t="n">
        <x:v>1</x:v>
      </x:c>
      <x:c r="E724" s="11" t="n">
        <x:v>13</x:v>
      </x:c>
      <x:c r="F724" s="11" t="n">
        <x:v>1989</x:v>
      </x:c>
      <x:c r="G724" s="31" t="n">
        <x:v>33.9</x:v>
      </x:c>
      <x:c r="H724" s="11" t="n">
        <x:v>2748</x:v>
      </x:c>
      <x:c r="I724" s="11" t="n">
        <x:v>1</x:v>
      </x:c>
      <x:c r="J724" s="11" t="n">
        <x:v>581</x:v>
      </x:c>
      <x:c r="K724" s="9" t="str">
        <x:v>Чт</x:v>
      </x:c>
      <x:c r="L724" s="10" t="n">
        <x:v>26.11</x:v>
      </x:c>
      <x:c r="M724" s="31" t="n">
        <x:v>6743</x:v>
      </x:c>
    </x:row>
    <x:row r="725" ht="23" customHeight="1">
      <x:c r="A725" s="12" t="n">
        <x:v>10720</x:v>
      </x:c>
      <x:c r="B725" s="32" t="n">
        <x:v>109.9</x:v>
      </x:c>
      <x:c r="C725" s="32" t="n">
        <x:v>71.5</x:v>
      </x:c>
      <x:c r="D725" s="12" t="n">
        <x:v>4</x:v>
      </x:c>
      <x:c r="E725" s="12" t="n">
        <x:v>20</x:v>
      </x:c>
      <x:c r="F725" s="12" t="n">
        <x:v>2021</x:v>
      </x:c>
      <x:c r="G725" s="32" t="n">
        <x:v>16.5</x:v>
      </x:c>
      <x:c r="H725" s="12" t="n">
        <x:v>1476</x:v>
      </x:c>
      <x:c r="I725" s="12" t="n">
        <x:v>7</x:v>
      </x:c>
      <x:c r="J725" s="12" t="n">
        <x:v>118</x:v>
      </x:c>
      <x:c r="K725" s="3" t="str">
        <x:v>Ср</x:v>
      </x:c>
      <x:c r="L725" s="8" t="n">
        <x:v>61.36</x:v>
      </x:c>
      <x:c r="M725" s="32" t="n">
        <x:v>21066.6</x:v>
      </x:c>
    </x:row>
    <x:row r="726" ht="23" customHeight="1">
      <x:c r="A726" s="11" t="n">
        <x:v>10721</x:v>
      </x:c>
      <x:c r="B726" s="31" t="n">
        <x:v>133.1</x:v>
      </x:c>
      <x:c r="C726" s="31" t="n">
        <x:v>74.3</x:v>
      </x:c>
      <x:c r="D726" s="11" t="n">
        <x:v>5</x:v>
      </x:c>
      <x:c r="E726" s="11" t="n">
        <x:v>24</x:v>
      </x:c>
      <x:c r="F726" s="11" t="n">
        <x:v>2010</x:v>
      </x:c>
      <x:c r="G726" s="31" t="n">
        <x:v>11.2</x:v>
      </x:c>
      <x:c r="H726" s="11" t="n">
        <x:v>936</x:v>
      </x:c>
      <x:c r="I726" s="11" t="n">
        <x:v>7</x:v>
      </x:c>
      <x:c r="J726" s="11" t="n">
        <x:v>727</x:v>
      </x:c>
      <x:c r="K726" s="9" t="str">
        <x:v>Сб</x:v>
      </x:c>
      <x:c r="L726" s="10" t="n">
        <x:v>65.36</x:v>
      </x:c>
      <x:c r="M726" s="31" t="n">
        <x:v>26039.5</x:v>
      </x:c>
    </x:row>
    <x:row r="727" ht="23" customHeight="1">
      <x:c r="A727" s="12" t="n">
        <x:v>10722</x:v>
      </x:c>
      <x:c r="B727" s="32" t="n">
        <x:v>48.3</x:v>
      </x:c>
      <x:c r="C727" s="32" t="n">
        <x:v>28.4</x:v>
      </x:c>
      <x:c r="D727" s="12" t="n">
        <x:v>2</x:v>
      </x:c>
      <x:c r="E727" s="12" t="n">
        <x:v>17</x:v>
      </x:c>
      <x:c r="F727" s="12" t="n">
        <x:v>1980</x:v>
      </x:c>
      <x:c r="G727" s="32" t="n">
        <x:v>28.3</x:v>
      </x:c>
      <x:c r="H727" s="12" t="n">
        <x:v>2222</x:v>
      </x:c>
      <x:c r="I727" s="12" t="n">
        <x:v>4</x:v>
      </x:c>
      <x:c r="J727" s="12" t="n">
        <x:v>283</x:v>
      </x:c>
      <x:c r="K727" s="3" t="str">
        <x:v>Вт</x:v>
      </x:c>
      <x:c r="L727" s="8" t="n">
        <x:v>59.58</x:v>
      </x:c>
      <x:c r="M727" s="32" t="n">
        <x:v>8180.9</x:v>
      </x:c>
    </x:row>
    <x:row r="728" ht="23" customHeight="1">
      <x:c r="A728" s="11" t="n">
        <x:v>10723</x:v>
      </x:c>
      <x:c r="B728" s="31" t="n">
        <x:v>35.4</x:v>
      </x:c>
      <x:c r="C728" s="31" t="n">
        <x:v>22.2</x:v>
      </x:c>
      <x:c r="D728" s="11" t="n">
        <x:v>2</x:v>
      </x:c>
      <x:c r="E728" s="11" t="n">
        <x:v>13</x:v>
      </x:c>
      <x:c r="F728" s="11" t="n">
        <x:v>2023</x:v>
      </x:c>
      <x:c r="G728" s="31" t="n">
        <x:v>12.8</x:v>
      </x:c>
      <x:c r="H728" s="11" t="n">
        <x:v>1003</x:v>
      </x:c>
      <x:c r="I728" s="11" t="n">
        <x:v>2</x:v>
      </x:c>
      <x:c r="J728" s="11" t="n">
        <x:v>881</x:v>
      </x:c>
      <x:c r="K728" s="9" t="str">
        <x:v>Пт</x:v>
      </x:c>
      <x:c r="L728" s="10" t="n">
        <x:v>51.3</x:v>
      </x:c>
      <x:c r="M728" s="31" t="n">
        <x:v>8829.3</x:v>
      </x:c>
    </x:row>
    <x:row r="729" ht="23" customHeight="1">
      <x:c r="A729" s="12" t="n">
        <x:v>10724</x:v>
      </x:c>
      <x:c r="B729" s="32" t="n">
        <x:v>111</x:v>
      </x:c>
      <x:c r="C729" s="32" t="n">
        <x:v>70.1</x:v>
      </x:c>
      <x:c r="D729" s="12" t="n">
        <x:v>5</x:v>
      </x:c>
      <x:c r="E729" s="12" t="n">
        <x:v>6</x:v>
      </x:c>
      <x:c r="F729" s="12" t="n">
        <x:v>2002</x:v>
      </x:c>
      <x:c r="G729" s="32" t="n">
        <x:v>11.9</x:v>
      </x:c>
      <x:c r="H729" s="12" t="n">
        <x:v>929</x:v>
      </x:c>
      <x:c r="I729" s="12" t="n">
        <x:v>3</x:v>
      </x:c>
      <x:c r="J729" s="12" t="n">
        <x:v>644</x:v>
      </x:c>
      <x:c r="K729" s="3" t="str">
        <x:v>Чт</x:v>
      </x:c>
      <x:c r="L729" s="8" t="n">
        <x:v>34.99</x:v>
      </x:c>
      <x:c r="M729" s="32" t="n">
        <x:v>20898.9</x:v>
      </x:c>
    </x:row>
    <x:row r="730" ht="23" customHeight="1">
      <x:c r="A730" s="11" t="n">
        <x:v>10725</x:v>
      </x:c>
      <x:c r="B730" s="31" t="n">
        <x:v>92.3</x:v>
      </x:c>
      <x:c r="C730" s="31" t="n">
        <x:v>54.6</x:v>
      </x:c>
      <x:c r="D730" s="11" t="n">
        <x:v>4</x:v>
      </x:c>
      <x:c r="E730" s="11" t="n">
        <x:v>17</x:v>
      </x:c>
      <x:c r="F730" s="11" t="n">
        <x:v>2019</x:v>
      </x:c>
      <x:c r="G730" s="31" t="n">
        <x:v>9.7</x:v>
      </x:c>
      <x:c r="H730" s="11" t="n">
        <x:v>686</x:v>
      </x:c>
      <x:c r="I730" s="11" t="n">
        <x:v>8</x:v>
      </x:c>
      <x:c r="J730" s="11" t="n">
        <x:v>109</x:v>
      </x:c>
      <x:c r="K730" s="9" t="str">
        <x:v>Пт</x:v>
      </x:c>
      <x:c r="L730" s="10" t="n">
        <x:v>70.87</x:v>
      </x:c>
      <x:c r="M730" s="31" t="n">
        <x:v>19497.5</x:v>
      </x:c>
    </x:row>
    <x:row r="731" ht="23" customHeight="1">
      <x:c r="A731" s="12" t="n">
        <x:v>10726</x:v>
      </x:c>
      <x:c r="B731" s="32" t="n">
        <x:v>122.3</x:v>
      </x:c>
      <x:c r="C731" s="32" t="n">
        <x:v>66.8</x:v>
      </x:c>
      <x:c r="D731" s="12" t="n">
        <x:v>4</x:v>
      </x:c>
      <x:c r="E731" s="12" t="n">
        <x:v>14</x:v>
      </x:c>
      <x:c r="F731" s="12" t="n">
        <x:v>2007</x:v>
      </x:c>
      <x:c r="G731" s="32" t="n">
        <x:v>6.3</x:v>
      </x:c>
      <x:c r="H731" s="12" t="n">
        <x:v>487</x:v>
      </x:c>
      <x:c r="I731" s="12" t="n">
        <x:v>8</x:v>
      </x:c>
      <x:c r="J731" s="12" t="n">
        <x:v>691</x:v>
      </x:c>
      <x:c r="K731" s="3" t="str">
        <x:v>Пт</x:v>
      </x:c>
      <x:c r="L731" s="8" t="n">
        <x:v>50.52</x:v>
      </x:c>
      <x:c r="M731" s="32" t="n">
        <x:v>24412</x:v>
      </x:c>
    </x:row>
    <x:row r="732" ht="23" customHeight="1">
      <x:c r="A732" s="11" t="n">
        <x:v>10727</x:v>
      </x:c>
      <x:c r="B732" s="31" t="n">
        <x:v>43.7</x:v>
      </x:c>
      <x:c r="C732" s="31" t="n">
        <x:v>28.1</x:v>
      </x:c>
      <x:c r="D732" s="11" t="n">
        <x:v>1</x:v>
      </x:c>
      <x:c r="E732" s="11" t="n">
        <x:v>17</x:v>
      </x:c>
      <x:c r="F732" s="11" t="n">
        <x:v>1996</x:v>
      </x:c>
      <x:c r="G732" s="31" t="n">
        <x:v>10.5</x:v>
      </x:c>
      <x:c r="H732" s="11" t="n">
        <x:v>877</x:v>
      </x:c>
      <x:c r="I732" s="11" t="n">
        <x:v>6</x:v>
      </x:c>
      <x:c r="J732" s="11" t="n">
        <x:v>291</x:v>
      </x:c>
      <x:c r="K732" s="9" t="str">
        <x:v>Вс</x:v>
      </x:c>
      <x:c r="L732" s="10" t="n">
        <x:v>36.44</x:v>
      </x:c>
      <x:c r="M732" s="31" t="n">
        <x:v>9762.1</x:v>
      </x:c>
    </x:row>
    <x:row r="733" ht="23" customHeight="1">
      <x:c r="A733" s="12" t="n">
        <x:v>10728</x:v>
      </x:c>
      <x:c r="B733" s="32" t="n">
        <x:v>117.1</x:v>
      </x:c>
      <x:c r="C733" s="32" t="n">
        <x:v>79.3</x:v>
      </x:c>
      <x:c r="D733" s="12" t="n">
        <x:v>5</x:v>
      </x:c>
      <x:c r="E733" s="12" t="n">
        <x:v>8</x:v>
      </x:c>
      <x:c r="F733" s="12" t="n">
        <x:v>2003</x:v>
      </x:c>
      <x:c r="G733" s="32" t="n">
        <x:v>13.7</x:v>
      </x:c>
      <x:c r="H733" s="12" t="n">
        <x:v>1032</x:v>
      </x:c>
      <x:c r="I733" s="12" t="n">
        <x:v>9</x:v>
      </x:c>
      <x:c r="J733" s="12" t="n">
        <x:v>419</x:v>
      </x:c>
      <x:c r="K733" s="3" t="str">
        <x:v>Сб</x:v>
      </x:c>
      <x:c r="L733" s="8" t="n">
        <x:v>45.23</x:v>
      </x:c>
      <x:c r="M733" s="32" t="n">
        <x:v>22340</x:v>
      </x:c>
    </x:row>
    <x:row r="734" ht="23" customHeight="1">
      <x:c r="A734" s="11" t="n">
        <x:v>10729</x:v>
      </x:c>
      <x:c r="B734" s="31" t="n">
        <x:v>50.6</x:v>
      </x:c>
      <x:c r="C734" s="31" t="n">
        <x:v>31.5</x:v>
      </x:c>
      <x:c r="D734" s="11" t="n">
        <x:v>1</x:v>
      </x:c>
      <x:c r="E734" s="11" t="n">
        <x:v>11</x:v>
      </x:c>
      <x:c r="F734" s="11" t="n">
        <x:v>1984</x:v>
      </x:c>
      <x:c r="G734" s="31" t="n">
        <x:v>24.2</x:v>
      </x:c>
      <x:c r="H734" s="11" t="n">
        <x:v>1988</x:v>
      </x:c>
      <x:c r="I734" s="11" t="n">
        <x:v>9</x:v>
      </x:c>
      <x:c r="J734" s="11" t="n">
        <x:v>801</x:v>
      </x:c>
      <x:c r="K734" s="9" t="str">
        <x:v>Ср</x:v>
      </x:c>
      <x:c r="L734" s="10" t="n">
        <x:v>55.53</x:v>
      </x:c>
      <x:c r="M734" s="31" t="n">
        <x:v>8651</x:v>
      </x:c>
    </x:row>
    <x:row r="735" ht="23" customHeight="1">
      <x:c r="A735" s="12" t="n">
        <x:v>10730</x:v>
      </x:c>
      <x:c r="B735" s="32" t="n">
        <x:v>46.3</x:v>
      </x:c>
      <x:c r="C735" s="32" t="n">
        <x:v>22.7</x:v>
      </x:c>
      <x:c r="D735" s="12" t="n">
        <x:v>2</x:v>
      </x:c>
      <x:c r="E735" s="12" t="n">
        <x:v>20</x:v>
      </x:c>
      <x:c r="F735" s="12" t="n">
        <x:v>2001</x:v>
      </x:c>
      <x:c r="G735" s="32" t="n">
        <x:v>4.1</x:v>
      </x:c>
      <x:c r="H735" s="12" t="n">
        <x:v>352</x:v>
      </x:c>
      <x:c r="I735" s="12" t="n">
        <x:v>4</x:v>
      </x:c>
      <x:c r="J735" s="12" t="n">
        <x:v>679</x:v>
      </x:c>
      <x:c r="K735" s="3" t="str">
        <x:v>Чт</x:v>
      </x:c>
      <x:c r="L735" s="8" t="n">
        <x:v>26.58</x:v>
      </x:c>
      <x:c r="M735" s="32" t="n">
        <x:v>12030.5</x:v>
      </x:c>
    </x:row>
    <x:row r="736" ht="23" customHeight="1">
      <x:c r="A736" s="11" t="n">
        <x:v>10731</x:v>
      </x:c>
      <x:c r="B736" s="31" t="n">
        <x:v>46.4</x:v>
      </x:c>
      <x:c r="C736" s="31" t="n">
        <x:v>27.3</x:v>
      </x:c>
      <x:c r="D736" s="11" t="n">
        <x:v>1</x:v>
      </x:c>
      <x:c r="E736" s="11" t="n">
        <x:v>1</x:v>
      </x:c>
      <x:c r="F736" s="11" t="n">
        <x:v>1990</x:v>
      </x:c>
      <x:c r="G736" s="31" t="n">
        <x:v>8.9</x:v>
      </x:c>
      <x:c r="H736" s="11" t="n">
        <x:v>675</x:v>
      </x:c>
      <x:c r="I736" s="11" t="n">
        <x:v>1</x:v>
      </x:c>
      <x:c r="J736" s="11" t="n">
        <x:v>574</x:v>
      </x:c>
      <x:c r="K736" s="9" t="str">
        <x:v>Вт</x:v>
      </x:c>
      <x:c r="L736" s="10" t="n">
        <x:v>50.27</x:v>
      </x:c>
      <x:c r="M736" s="31" t="n">
        <x:v>9560.3</x:v>
      </x:c>
    </x:row>
    <x:row r="737" ht="23" customHeight="1">
      <x:c r="A737" s="12" t="n">
        <x:v>10732</x:v>
      </x:c>
      <x:c r="B737" s="32" t="n">
        <x:v>119.2</x:v>
      </x:c>
      <x:c r="C737" s="32" t="n">
        <x:v>64.7</x:v>
      </x:c>
      <x:c r="D737" s="12" t="n">
        <x:v>4</x:v>
      </x:c>
      <x:c r="E737" s="12" t="n">
        <x:v>7</x:v>
      </x:c>
      <x:c r="F737" s="12" t="n">
        <x:v>2015</x:v>
      </x:c>
      <x:c r="G737" s="32" t="n">
        <x:v>28.7</x:v>
      </x:c>
      <x:c r="H737" s="12" t="n">
        <x:v>2289</x:v>
      </x:c>
      <x:c r="I737" s="12" t="n">
        <x:v>1</x:v>
      </x:c>
      <x:c r="J737" s="12" t="n">
        <x:v>959</x:v>
      </x:c>
      <x:c r="K737" s="3" t="str">
        <x:v>Ср</x:v>
      </x:c>
      <x:c r="L737" s="8" t="n">
        <x:v>43.75</x:v>
      </x:c>
      <x:c r="M737" s="32" t="n">
        <x:v>21409.2</x:v>
      </x:c>
    </x:row>
    <x:row r="738" ht="23" customHeight="1">
      <x:c r="A738" s="11" t="n">
        <x:v>10733</x:v>
      </x:c>
      <x:c r="B738" s="31" t="n">
        <x:v>102.5</x:v>
      </x:c>
      <x:c r="C738" s="31" t="n">
        <x:v>68.6</x:v>
      </x:c>
      <x:c r="D738" s="11" t="n">
        <x:v>4</x:v>
      </x:c>
      <x:c r="E738" s="11" t="n">
        <x:v>21</x:v>
      </x:c>
      <x:c r="F738" s="11" t="n">
        <x:v>1974</x:v>
      </x:c>
      <x:c r="G738" s="31" t="n">
        <x:v>6.8</x:v>
      </x:c>
      <x:c r="H738" s="11" t="n">
        <x:v>624</x:v>
      </x:c>
      <x:c r="I738" s="11" t="n">
        <x:v>5</x:v>
      </x:c>
      <x:c r="J738" s="11" t="n">
        <x:v>736</x:v>
      </x:c>
      <x:c r="K738" s="9" t="str">
        <x:v>Вт</x:v>
      </x:c>
      <x:c r="L738" s="10" t="n">
        <x:v>70.04</x:v>
      </x:c>
      <x:c r="M738" s="31" t="n">
        <x:v>19416</x:v>
      </x:c>
    </x:row>
    <x:row r="739" ht="23" customHeight="1">
      <x:c r="A739" s="12" t="n">
        <x:v>10734</x:v>
      </x:c>
      <x:c r="B739" s="32" t="n">
        <x:v>86.6</x:v>
      </x:c>
      <x:c r="C739" s="32" t="n">
        <x:v>57.6</x:v>
      </x:c>
      <x:c r="D739" s="12" t="n">
        <x:v>4</x:v>
      </x:c>
      <x:c r="E739" s="12" t="n">
        <x:v>21</x:v>
      </x:c>
      <x:c r="F739" s="12" t="n">
        <x:v>1975</x:v>
      </x:c>
      <x:c r="G739" s="32" t="n">
        <x:v>13.3</x:v>
      </x:c>
      <x:c r="H739" s="12" t="n">
        <x:v>1101</x:v>
      </x:c>
      <x:c r="I739" s="12" t="n">
        <x:v>2</x:v>
      </x:c>
      <x:c r="J739" s="12" t="n">
        <x:v>526</x:v>
      </x:c>
      <x:c r="K739" s="3" t="str">
        <x:v>Пн</x:v>
      </x:c>
      <x:c r="L739" s="8" t="n">
        <x:v>21.88</x:v>
      </x:c>
      <x:c r="M739" s="32" t="n">
        <x:v>15955.1</x:v>
      </x:c>
    </x:row>
    <x:row r="740" ht="23" customHeight="1">
      <x:c r="A740" s="11" t="n">
        <x:v>10735</x:v>
      </x:c>
      <x:c r="B740" s="31" t="n">
        <x:v>68.2</x:v>
      </x:c>
      <x:c r="C740" s="31" t="n">
        <x:v>44.7</x:v>
      </x:c>
      <x:c r="D740" s="11" t="n">
        <x:v>2</x:v>
      </x:c>
      <x:c r="E740" s="11" t="n">
        <x:v>17</x:v>
      </x:c>
      <x:c r="F740" s="11" t="n">
        <x:v>2007</x:v>
      </x:c>
      <x:c r="G740" s="31" t="n">
        <x:v>30.5</x:v>
      </x:c>
      <x:c r="H740" s="11" t="n">
        <x:v>2440</x:v>
      </x:c>
      <x:c r="I740" s="11" t="n">
        <x:v>6</x:v>
      </x:c>
      <x:c r="J740" s="11" t="n">
        <x:v>947</x:v>
      </x:c>
      <x:c r="K740" s="9" t="str">
        <x:v>Пт</x:v>
      </x:c>
      <x:c r="L740" s="10" t="n">
        <x:v>64.08</x:v>
      </x:c>
      <x:c r="M740" s="31" t="n">
        <x:v>12397.8</x:v>
      </x:c>
    </x:row>
    <x:row r="741" ht="23" customHeight="1">
      <x:c r="A741" s="12" t="n">
        <x:v>10736</x:v>
      </x:c>
      <x:c r="B741" s="32" t="n">
        <x:v>126.2</x:v>
      </x:c>
      <x:c r="C741" s="32" t="n">
        <x:v>73.3</x:v>
      </x:c>
      <x:c r="D741" s="12" t="n">
        <x:v>4</x:v>
      </x:c>
      <x:c r="E741" s="12" t="n">
        <x:v>10</x:v>
      </x:c>
      <x:c r="F741" s="12" t="n">
        <x:v>1991</x:v>
      </x:c>
      <x:c r="G741" s="32" t="n">
        <x:v>7.1</x:v>
      </x:c>
      <x:c r="H741" s="12" t="n">
        <x:v>556</x:v>
      </x:c>
      <x:c r="I741" s="12" t="n">
        <x:v>7</x:v>
      </x:c>
      <x:c r="J741" s="12" t="n">
        <x:v>158</x:v>
      </x:c>
      <x:c r="K741" s="3" t="str">
        <x:v>Пн</x:v>
      </x:c>
      <x:c r="L741" s="8" t="n">
        <x:v>71.26</x:v>
      </x:c>
      <x:c r="M741" s="32" t="n">
        <x:v>24898.9</x:v>
      </x:c>
    </x:row>
    <x:row r="742" ht="23" customHeight="1">
      <x:c r="A742" s="11" t="n">
        <x:v>10737</x:v>
      </x:c>
      <x:c r="B742" s="31" t="n">
        <x:v>72</x:v>
      </x:c>
      <x:c r="C742" s="31" t="n">
        <x:v>48.3</x:v>
      </x:c>
      <x:c r="D742" s="11" t="n">
        <x:v>3</x:v>
      </x:c>
      <x:c r="E742" s="11" t="n">
        <x:v>11</x:v>
      </x:c>
      <x:c r="F742" s="11" t="n">
        <x:v>1987</x:v>
      </x:c>
      <x:c r="G742" s="31" t="n">
        <x:v>4.7</x:v>
      </x:c>
      <x:c r="H742" s="11" t="n">
        <x:v>380</x:v>
      </x:c>
      <x:c r="I742" s="11" t="n">
        <x:v>1</x:v>
      </x:c>
      <x:c r="J742" s="11" t="n">
        <x:v>535</x:v>
      </x:c>
      <x:c r="K742" s="9" t="str">
        <x:v>Вс</x:v>
      </x:c>
      <x:c r="L742" s="10" t="n">
        <x:v>22.44</x:v>
      </x:c>
      <x:c r="M742" s="31" t="n">
        <x:v>14130.1</x:v>
      </x:c>
    </x:row>
    <x:row r="743" ht="23" customHeight="1">
      <x:c r="A743" s="12" t="n">
        <x:v>10738</x:v>
      </x:c>
      <x:c r="B743" s="32" t="n">
        <x:v>119.5</x:v>
      </x:c>
      <x:c r="C743" s="32" t="n">
        <x:v>76.5</x:v>
      </x:c>
      <x:c r="D743" s="12" t="n">
        <x:v>5</x:v>
      </x:c>
      <x:c r="E743" s="12" t="n">
        <x:v>22</x:v>
      </x:c>
      <x:c r="F743" s="12" t="n">
        <x:v>1983</x:v>
      </x:c>
      <x:c r="G743" s="32" t="n">
        <x:v>18</x:v>
      </x:c>
      <x:c r="H743" s="12" t="n">
        <x:v>1414</x:v>
      </x:c>
      <x:c r="I743" s="12" t="n">
        <x:v>6</x:v>
      </x:c>
      <x:c r="J743" s="12" t="n">
        <x:v>196</x:v>
      </x:c>
      <x:c r="K743" s="3" t="str">
        <x:v>Пт</x:v>
      </x:c>
      <x:c r="L743" s="8" t="n">
        <x:v>24.24</x:v>
      </x:c>
      <x:c r="M743" s="32" t="n">
        <x:v>21744.3</x:v>
      </x:c>
    </x:row>
    <x:row r="744" ht="23" customHeight="1">
      <x:c r="A744" s="11" t="n">
        <x:v>10739</x:v>
      </x:c>
      <x:c r="B744" s="31" t="n">
        <x:v>77.2</x:v>
      </x:c>
      <x:c r="C744" s="31" t="n">
        <x:v>54.8</x:v>
      </x:c>
      <x:c r="D744" s="11" t="n">
        <x:v>2</x:v>
      </x:c>
      <x:c r="E744" s="11" t="n">
        <x:v>9</x:v>
      </x:c>
      <x:c r="F744" s="11" t="n">
        <x:v>1979</x:v>
      </x:c>
      <x:c r="G744" s="31" t="n">
        <x:v>12</x:v>
      </x:c>
      <x:c r="H744" s="11" t="n">
        <x:v>855</x:v>
      </x:c>
      <x:c r="I744" s="11" t="n">
        <x:v>8</x:v>
      </x:c>
      <x:c r="J744" s="11" t="n">
        <x:v>595</x:v>
      </x:c>
      <x:c r="K744" s="9" t="str">
        <x:v>Сб</x:v>
      </x:c>
      <x:c r="L744" s="10" t="n">
        <x:v>76.79</x:v>
      </x:c>
      <x:c r="M744" s="31" t="n">
        <x:v>13976.8</x:v>
      </x:c>
    </x:row>
    <x:row r="745" ht="23" customHeight="1">
      <x:c r="A745" s="12" t="n">
        <x:v>10740</x:v>
      </x:c>
      <x:c r="B745" s="32" t="n">
        <x:v>70.2</x:v>
      </x:c>
      <x:c r="C745" s="32" t="n">
        <x:v>44.5</x:v>
      </x:c>
      <x:c r="D745" s="12" t="n">
        <x:v>3</x:v>
      </x:c>
      <x:c r="E745" s="12" t="n">
        <x:v>9</x:v>
      </x:c>
      <x:c r="F745" s="12" t="n">
        <x:v>2015</x:v>
      </x:c>
      <x:c r="G745" s="32" t="n">
        <x:v>20.6</x:v>
      </x:c>
      <x:c r="H745" s="12" t="n">
        <x:v>1750</x:v>
      </x:c>
      <x:c r="I745" s="12" t="n">
        <x:v>5</x:v>
      </x:c>
      <x:c r="J745" s="12" t="n">
        <x:v>886</x:v>
      </x:c>
      <x:c r="K745" s="3" t="str">
        <x:v>Ср</x:v>
      </x:c>
      <x:c r="L745" s="8" t="n">
        <x:v>36.43</x:v>
      </x:c>
      <x:c r="M745" s="32" t="n">
        <x:v>13789.5</x:v>
      </x:c>
    </x:row>
    <x:row r="746" ht="23" customHeight="1">
      <x:c r="A746" s="11" t="n">
        <x:v>10741</x:v>
      </x:c>
      <x:c r="B746" s="31" t="n">
        <x:v>79.8</x:v>
      </x:c>
      <x:c r="C746" s="31" t="n">
        <x:v>53.8</x:v>
      </x:c>
      <x:c r="D746" s="11" t="n">
        <x:v>3</x:v>
      </x:c>
      <x:c r="E746" s="11" t="n">
        <x:v>24</x:v>
      </x:c>
      <x:c r="F746" s="11" t="n">
        <x:v>1982</x:v>
      </x:c>
      <x:c r="G746" s="31" t="n">
        <x:v>28.5</x:v>
      </x:c>
      <x:c r="H746" s="11" t="n">
        <x:v>2288</x:v>
      </x:c>
      <x:c r="I746" s="11" t="n">
        <x:v>7</x:v>
      </x:c>
      <x:c r="J746" s="11" t="n">
        <x:v>760</x:v>
      </x:c>
      <x:c r="K746" s="9" t="str">
        <x:v>Вт</x:v>
      </x:c>
      <x:c r="L746" s="10" t="n">
        <x:v>96.42</x:v>
      </x:c>
      <x:c r="M746" s="31" t="n">
        <x:v>14558.8</x:v>
      </x:c>
    </x:row>
    <x:row r="747" ht="23" customHeight="1">
      <x:c r="A747" s="12" t="n">
        <x:v>10742</x:v>
      </x:c>
      <x:c r="B747" s="32" t="n">
        <x:v>61.8</x:v>
      </x:c>
      <x:c r="C747" s="32" t="n">
        <x:v>36.8</x:v>
      </x:c>
      <x:c r="D747" s="12" t="n">
        <x:v>3</x:v>
      </x:c>
      <x:c r="E747" s="12" t="n">
        <x:v>5</x:v>
      </x:c>
      <x:c r="F747" s="12" t="n">
        <x:v>2000</x:v>
      </x:c>
      <x:c r="G747" s="32" t="n">
        <x:v>6.5</x:v>
      </x:c>
      <x:c r="H747" s="12" t="n">
        <x:v>540</x:v>
      </x:c>
      <x:c r="I747" s="12" t="n">
        <x:v>6</x:v>
      </x:c>
      <x:c r="J747" s="12" t="n">
        <x:v>377</x:v>
      </x:c>
      <x:c r="K747" s="3" t="str">
        <x:v>Вс</x:v>
      </x:c>
      <x:c r="L747" s="8" t="n">
        <x:v>22.91</x:v>
      </x:c>
      <x:c r="M747" s="32" t="n">
        <x:v>13274.2</x:v>
      </x:c>
    </x:row>
    <x:row r="748" ht="23" customHeight="1">
      <x:c r="A748" s="11" t="n">
        <x:v>10743</x:v>
      </x:c>
      <x:c r="B748" s="31" t="n">
        <x:v>111.7</x:v>
      </x:c>
      <x:c r="C748" s="31" t="n">
        <x:v>64.8</x:v>
      </x:c>
      <x:c r="D748" s="11" t="n">
        <x:v>5</x:v>
      </x:c>
      <x:c r="E748" s="11" t="n">
        <x:v>17</x:v>
      </x:c>
      <x:c r="F748" s="11" t="n">
        <x:v>1999</x:v>
      </x:c>
      <x:c r="G748" s="31" t="n">
        <x:v>21.2</x:v>
      </x:c>
      <x:c r="H748" s="11" t="n">
        <x:v>1693</x:v>
      </x:c>
      <x:c r="I748" s="11" t="n">
        <x:v>4</x:v>
      </x:c>
      <x:c r="J748" s="11" t="n">
        <x:v>364</x:v>
      </x:c>
      <x:c r="K748" s="9" t="str">
        <x:v>Сб</x:v>
      </x:c>
      <x:c r="L748" s="10" t="n">
        <x:v>52.55</x:v>
      </x:c>
      <x:c r="M748" s="31" t="n">
        <x:v>20799.7</x:v>
      </x:c>
    </x:row>
    <x:row r="749" ht="23" customHeight="1">
      <x:c r="A749" s="12" t="n">
        <x:v>10744</x:v>
      </x:c>
      <x:c r="B749" s="32" t="n">
        <x:v>84.3</x:v>
      </x:c>
      <x:c r="C749" s="32" t="n">
        <x:v>59.7</x:v>
      </x:c>
      <x:c r="D749" s="12" t="n">
        <x:v>3</x:v>
      </x:c>
      <x:c r="E749" s="12" t="n">
        <x:v>9</x:v>
      </x:c>
      <x:c r="F749" s="12" t="n">
        <x:v>1972</x:v>
      </x:c>
      <x:c r="G749" s="32" t="n">
        <x:v>18.7</x:v>
      </x:c>
      <x:c r="H749" s="12" t="n">
        <x:v>1459</x:v>
      </x:c>
      <x:c r="I749" s="12" t="n">
        <x:v>7</x:v>
      </x:c>
      <x:c r="J749" s="12" t="n">
        <x:v>108</x:v>
      </x:c>
      <x:c r="K749" s="3" t="str">
        <x:v>Вт</x:v>
      </x:c>
      <x:c r="L749" s="8" t="n">
        <x:v>49.65</x:v>
      </x:c>
      <x:c r="M749" s="32" t="n">
        <x:v>14323.2</x:v>
      </x:c>
    </x:row>
    <x:row r="750" ht="23" customHeight="1">
      <x:c r="A750" s="11" t="n">
        <x:v>10745</x:v>
      </x:c>
      <x:c r="B750" s="31" t="n">
        <x:v>54</x:v>
      </x:c>
      <x:c r="C750" s="31" t="n">
        <x:v>34.1</x:v>
      </x:c>
      <x:c r="D750" s="11" t="n">
        <x:v>3</x:v>
      </x:c>
      <x:c r="E750" s="11" t="n">
        <x:v>17</x:v>
      </x:c>
      <x:c r="F750" s="11" t="n">
        <x:v>1999</x:v>
      </x:c>
      <x:c r="G750" s="31" t="n">
        <x:v>6.8</x:v>
      </x:c>
      <x:c r="H750" s="11" t="n">
        <x:v>535</x:v>
      </x:c>
      <x:c r="I750" s="11" t="n">
        <x:v>9</x:v>
      </x:c>
      <x:c r="J750" s="11" t="n">
        <x:v>556</x:v>
      </x:c>
      <x:c r="K750" s="9" t="str">
        <x:v>Ср</x:v>
      </x:c>
      <x:c r="L750" s="10" t="n">
        <x:v>46.88</x:v>
      </x:c>
      <x:c r="M750" s="31" t="n">
        <x:v>11757.9</x:v>
      </x:c>
    </x:row>
    <x:row r="751" ht="23" customHeight="1">
      <x:c r="A751" s="12" t="n">
        <x:v>10746</x:v>
      </x:c>
      <x:c r="B751" s="32" t="n">
        <x:v>128.8</x:v>
      </x:c>
      <x:c r="C751" s="32" t="n">
        <x:v>84.3</x:v>
      </x:c>
      <x:c r="D751" s="12" t="n">
        <x:v>5</x:v>
      </x:c>
      <x:c r="E751" s="12" t="n">
        <x:v>24</x:v>
      </x:c>
      <x:c r="F751" s="12" t="n">
        <x:v>1975</x:v>
      </x:c>
      <x:c r="G751" s="32" t="n">
        <x:v>22.6</x:v>
      </x:c>
      <x:c r="H751" s="12" t="n">
        <x:v>1728</x:v>
      </x:c>
      <x:c r="I751" s="12" t="n">
        <x:v>7</x:v>
      </x:c>
      <x:c r="J751" s="12" t="n">
        <x:v>894</x:v>
      </x:c>
      <x:c r="K751" s="3" t="str">
        <x:v>Чт</x:v>
      </x:c>
      <x:c r="L751" s="8" t="n">
        <x:v>56.94</x:v>
      </x:c>
      <x:c r="M751" s="32" t="n">
        <x:v>23418.4</x:v>
      </x:c>
    </x:row>
    <x:row r="752" ht="23" customHeight="1">
      <x:c r="A752" s="11" t="n">
        <x:v>10747</x:v>
      </x:c>
      <x:c r="B752" s="31" t="n">
        <x:v>71</x:v>
      </x:c>
      <x:c r="C752" s="31" t="n">
        <x:v>39.3</x:v>
      </x:c>
      <x:c r="D752" s="11" t="n">
        <x:v>3</x:v>
      </x:c>
      <x:c r="E752" s="11" t="n">
        <x:v>21</x:v>
      </x:c>
      <x:c r="F752" s="11" t="n">
        <x:v>1998</x:v>
      </x:c>
      <x:c r="G752" s="31" t="n">
        <x:v>11</x:v>
      </x:c>
      <x:c r="H752" s="11" t="n">
        <x:v>994</x:v>
      </x:c>
      <x:c r="I752" s="11" t="n">
        <x:v>5</x:v>
      </x:c>
      <x:c r="J752" s="11" t="n">
        <x:v>372</x:v>
      </x:c>
      <x:c r="K752" s="9" t="str">
        <x:v>Вс</x:v>
      </x:c>
      <x:c r="L752" s="10" t="n">
        <x:v>57.81</x:v>
      </x:c>
      <x:c r="M752" s="31" t="n">
        <x:v>14784.7</x:v>
      </x:c>
    </x:row>
    <x:row r="753" ht="23" customHeight="1">
      <x:c r="A753" s="12" t="n">
        <x:v>10748</x:v>
      </x:c>
      <x:c r="B753" s="32" t="n">
        <x:v>88.9</x:v>
      </x:c>
      <x:c r="C753" s="32" t="n">
        <x:v>58</x:v>
      </x:c>
      <x:c r="D753" s="12" t="n">
        <x:v>3</x:v>
      </x:c>
      <x:c r="E753" s="12" t="n">
        <x:v>19</x:v>
      </x:c>
      <x:c r="F753" s="12" t="n">
        <x:v>1977</x:v>
      </x:c>
      <x:c r="G753" s="32" t="n">
        <x:v>18.1</x:v>
      </x:c>
      <x:c r="H753" s="12" t="n">
        <x:v>1386</x:v>
      </x:c>
      <x:c r="I753" s="12" t="n">
        <x:v>7</x:v>
      </x:c>
      <x:c r="J753" s="12" t="n">
        <x:v>912</x:v>
      </x:c>
      <x:c r="K753" s="3" t="str">
        <x:v>Пн</x:v>
      </x:c>
      <x:c r="L753" s="8" t="n">
        <x:v>47.49</x:v>
      </x:c>
      <x:c r="M753" s="32" t="n">
        <x:v>15880.1</x:v>
      </x:c>
    </x:row>
    <x:row r="754" ht="23" customHeight="1">
      <x:c r="A754" s="11" t="n">
        <x:v>10749</x:v>
      </x:c>
      <x:c r="B754" s="31" t="n">
        <x:v>129.5</x:v>
      </x:c>
      <x:c r="C754" s="31" t="n">
        <x:v>85.1</x:v>
      </x:c>
      <x:c r="D754" s="11" t="n">
        <x:v>5</x:v>
      </x:c>
      <x:c r="E754" s="11" t="n">
        <x:v>7</x:v>
      </x:c>
      <x:c r="F754" s="11" t="n">
        <x:v>2013</x:v>
      </x:c>
      <x:c r="G754" s="31" t="n">
        <x:v>4.7</x:v>
      </x:c>
      <x:c r="H754" s="11" t="n">
        <x:v>324</x:v>
      </x:c>
      <x:c r="I754" s="11" t="n">
        <x:v>3</x:v>
      </x:c>
      <x:c r="J754" s="11" t="n">
        <x:v>107</x:v>
      </x:c>
      <x:c r="K754" s="9" t="str">
        <x:v>Пн</x:v>
      </x:c>
      <x:c r="L754" s="10" t="n">
        <x:v>34.79</x:v>
      </x:c>
      <x:c r="M754" s="31" t="n">
        <x:v>25989.3</x:v>
      </x:c>
    </x:row>
    <x:row r="755" ht="23" customHeight="1">
      <x:c r="A755" s="12" t="n">
        <x:v>10750</x:v>
      </x:c>
      <x:c r="B755" s="32" t="n">
        <x:v>97.9</x:v>
      </x:c>
      <x:c r="C755" s="32" t="n">
        <x:v>57.2</x:v>
      </x:c>
      <x:c r="D755" s="12" t="n">
        <x:v>3</x:v>
      </x:c>
      <x:c r="E755" s="12" t="n">
        <x:v>23</x:v>
      </x:c>
      <x:c r="F755" s="12" t="n">
        <x:v>2014</x:v>
      </x:c>
      <x:c r="G755" s="32" t="n">
        <x:v>17.2</x:v>
      </x:c>
      <x:c r="H755" s="12" t="n">
        <x:v>1354</x:v>
      </x:c>
      <x:c r="I755" s="12" t="n">
        <x:v>2</x:v>
      </x:c>
      <x:c r="J755" s="12" t="n">
        <x:v>307</x:v>
      </x:c>
      <x:c r="K755" s="3" t="str">
        <x:v>Вт</x:v>
      </x:c>
      <x:c r="L755" s="8" t="n">
        <x:v>65.72</x:v>
      </x:c>
      <x:c r="M755" s="32" t="n">
        <x:v>19558.9</x:v>
      </x:c>
    </x:row>
    <x:row r="756" ht="23" customHeight="1">
      <x:c r="A756" s="11" t="n">
        <x:v>10751</x:v>
      </x:c>
      <x:c r="B756" s="31" t="n">
        <x:v>41.1</x:v>
      </x:c>
      <x:c r="C756" s="31" t="n">
        <x:v>23.4</x:v>
      </x:c>
      <x:c r="D756" s="11" t="n">
        <x:v>2</x:v>
      </x:c>
      <x:c r="E756" s="11" t="n">
        <x:v>9</x:v>
      </x:c>
      <x:c r="F756" s="11" t="n">
        <x:v>2012</x:v>
      </x:c>
      <x:c r="G756" s="31" t="n">
        <x:v>12.1</x:v>
      </x:c>
      <x:c r="H756" s="11" t="n">
        <x:v>1032</x:v>
      </x:c>
      <x:c r="I756" s="11" t="n">
        <x:v>5</x:v>
      </x:c>
      <x:c r="J756" s="11" t="n">
        <x:v>736</x:v>
      </x:c>
      <x:c r="K756" s="9" t="str">
        <x:v>Вт</x:v>
      </x:c>
      <x:c r="L756" s="10" t="n">
        <x:v>59.42</x:v>
      </x:c>
      <x:c r="M756" s="31" t="n">
        <x:v>9235.3</x:v>
      </x:c>
    </x:row>
    <x:row r="757" ht="23" customHeight="1">
      <x:c r="A757" s="12" t="n">
        <x:v>10752</x:v>
      </x:c>
      <x:c r="B757" s="32" t="n">
        <x:v>133.3</x:v>
      </x:c>
      <x:c r="C757" s="32" t="n">
        <x:v>85.4</x:v>
      </x:c>
      <x:c r="D757" s="12" t="n">
        <x:v>5</x:v>
      </x:c>
      <x:c r="E757" s="12" t="n">
        <x:v>7</x:v>
      </x:c>
      <x:c r="F757" s="12" t="n">
        <x:v>2013</x:v>
      </x:c>
      <x:c r="G757" s="32" t="n">
        <x:v>29.1</x:v>
      </x:c>
      <x:c r="H757" s="12" t="n">
        <x:v>2329</x:v>
      </x:c>
      <x:c r="I757" s="12" t="n">
        <x:v>4</x:v>
      </x:c>
      <x:c r="J757" s="12" t="n">
        <x:v>222</x:v>
      </x:c>
      <x:c r="K757" s="3" t="str">
        <x:v>Вт</x:v>
      </x:c>
      <x:c r="L757" s="8" t="n">
        <x:v>51.72</x:v>
      </x:c>
      <x:c r="M757" s="32" t="n">
        <x:v>23972</x:v>
      </x:c>
    </x:row>
    <x:row r="758" ht="23" customHeight="1">
      <x:c r="A758" s="11" t="n">
        <x:v>10753</x:v>
      </x:c>
      <x:c r="B758" s="31" t="n">
        <x:v>98.3</x:v>
      </x:c>
      <x:c r="C758" s="31" t="n">
        <x:v>63</x:v>
      </x:c>
      <x:c r="D758" s="11" t="n">
        <x:v>3</x:v>
      </x:c>
      <x:c r="E758" s="11" t="n">
        <x:v>13</x:v>
      </x:c>
      <x:c r="F758" s="11" t="n">
        <x:v>2002</x:v>
      </x:c>
      <x:c r="G758" s="31" t="n">
        <x:v>3.9</x:v>
      </x:c>
      <x:c r="H758" s="11" t="n">
        <x:v>250</x:v>
      </x:c>
      <x:c r="I758" s="11" t="n">
        <x:v>5</x:v>
      </x:c>
      <x:c r="J758" s="11" t="n">
        <x:v>132</x:v>
      </x:c>
      <x:c r="K758" s="9" t="str">
        <x:v>Вс</x:v>
      </x:c>
      <x:c r="L758" s="10" t="n">
        <x:v>58.95</x:v>
      </x:c>
      <x:c r="M758" s="31" t="n">
        <x:v>21046.5</x:v>
      </x:c>
    </x:row>
    <x:row r="759" ht="23" customHeight="1">
      <x:c r="A759" s="12" t="n">
        <x:v>10754</x:v>
      </x:c>
      <x:c r="B759" s="32" t="n">
        <x:v>65.5</x:v>
      </x:c>
      <x:c r="C759" s="32" t="n">
        <x:v>43.2</x:v>
      </x:c>
      <x:c r="D759" s="12" t="n">
        <x:v>2</x:v>
      </x:c>
      <x:c r="E759" s="12" t="n">
        <x:v>11</x:v>
      </x:c>
      <x:c r="F759" s="12" t="n">
        <x:v>1986</x:v>
      </x:c>
      <x:c r="G759" s="32" t="n">
        <x:v>15.8</x:v>
      </x:c>
      <x:c r="H759" s="12" t="n">
        <x:v>1327</x:v>
      </x:c>
      <x:c r="I759" s="12" t="n">
        <x:v>8</x:v>
      </x:c>
      <x:c r="J759" s="12" t="n">
        <x:v>612</x:v>
      </x:c>
      <x:c r="K759" s="3" t="str">
        <x:v>Ср</x:v>
      </x:c>
      <x:c r="L759" s="8" t="n">
        <x:v>61.53</x:v>
      </x:c>
      <x:c r="M759" s="32" t="n">
        <x:v>12577.9</x:v>
      </x:c>
    </x:row>
    <x:row r="760" ht="23" customHeight="1">
      <x:c r="A760" s="11" t="n">
        <x:v>10755</x:v>
      </x:c>
      <x:c r="B760" s="31" t="n">
        <x:v>43.6</x:v>
      </x:c>
      <x:c r="C760" s="31" t="n">
        <x:v>24.5</x:v>
      </x:c>
      <x:c r="D760" s="11" t="n">
        <x:v>2</x:v>
      </x:c>
      <x:c r="E760" s="11" t="n">
        <x:v>14</x:v>
      </x:c>
      <x:c r="F760" s="11" t="n">
        <x:v>2017</x:v>
      </x:c>
      <x:c r="G760" s="31" t="n">
        <x:v>17.1</x:v>
      </x:c>
      <x:c r="H760" s="11" t="n">
        <x:v>1405</x:v>
      </x:c>
      <x:c r="I760" s="11" t="n">
        <x:v>4</x:v>
      </x:c>
      <x:c r="J760" s="11" t="n">
        <x:v>303</x:v>
      </x:c>
      <x:c r="K760" s="9" t="str">
        <x:v>Чт</x:v>
      </x:c>
      <x:c r="L760" s="10" t="n">
        <x:v>38.57</x:v>
      </x:c>
      <x:c r="M760" s="31" t="n">
        <x:v>9194.4</x:v>
      </x:c>
    </x:row>
    <x:row r="761" ht="23" customHeight="1">
      <x:c r="A761" s="12" t="n">
        <x:v>10756</x:v>
      </x:c>
      <x:c r="B761" s="32" t="n">
        <x:v>116.9</x:v>
      </x:c>
      <x:c r="C761" s="32" t="n">
        <x:v>76.7</x:v>
      </x:c>
      <x:c r="D761" s="12" t="n">
        <x:v>5</x:v>
      </x:c>
      <x:c r="E761" s="12" t="n">
        <x:v>19</x:v>
      </x:c>
      <x:c r="F761" s="12" t="n">
        <x:v>1980</x:v>
      </x:c>
      <x:c r="G761" s="32" t="n">
        <x:v>25.9</x:v>
      </x:c>
      <x:c r="H761" s="12" t="n">
        <x:v>2099</x:v>
      </x:c>
      <x:c r="I761" s="12" t="n">
        <x:v>9</x:v>
      </x:c>
      <x:c r="J761" s="12" t="n">
        <x:v>617</x:v>
      </x:c>
      <x:c r="K761" s="3" t="str">
        <x:v>Пн</x:v>
      </x:c>
      <x:c r="L761" s="8" t="n">
        <x:v>58.41</x:v>
      </x:c>
      <x:c r="M761" s="32" t="n">
        <x:v>20556.6</x:v>
      </x:c>
    </x:row>
    <x:row r="762" ht="23" customHeight="1">
      <x:c r="A762" s="11" t="n">
        <x:v>10757</x:v>
      </x:c>
      <x:c r="B762" s="31" t="n">
        <x:v>97.4</x:v>
      </x:c>
      <x:c r="C762" s="31" t="n">
        <x:v>52.4</x:v>
      </x:c>
      <x:c r="D762" s="11" t="n">
        <x:v>4</x:v>
      </x:c>
      <x:c r="E762" s="11" t="n">
        <x:v>11</x:v>
      </x:c>
      <x:c r="F762" s="11" t="n">
        <x:v>1982</x:v>
      </x:c>
      <x:c r="G762" s="31" t="n">
        <x:v>21</x:v>
      </x:c>
      <x:c r="H762" s="11" t="n">
        <x:v>1716</x:v>
      </x:c>
      <x:c r="I762" s="11" t="n">
        <x:v>7</x:v>
      </x:c>
      <x:c r="J762" s="11" t="n">
        <x:v>908</x:v>
      </x:c>
      <x:c r="K762" s="9" t="str">
        <x:v>Сб</x:v>
      </x:c>
      <x:c r="L762" s="10" t="n">
        <x:v>41.7</x:v>
      </x:c>
      <x:c r="M762" s="31" t="n">
        <x:v>17896.4</x:v>
      </x:c>
    </x:row>
    <x:row r="763" ht="23" customHeight="1">
      <x:c r="A763" s="12" t="n">
        <x:v>10758</x:v>
      </x:c>
      <x:c r="B763" s="32" t="n">
        <x:v>87.7</x:v>
      </x:c>
      <x:c r="C763" s="32" t="n">
        <x:v>52.3</x:v>
      </x:c>
      <x:c r="D763" s="12" t="n">
        <x:v>4</x:v>
      </x:c>
      <x:c r="E763" s="12" t="n">
        <x:v>13</x:v>
      </x:c>
      <x:c r="F763" s="12" t="n">
        <x:v>2019</x:v>
      </x:c>
      <x:c r="G763" s="32" t="n">
        <x:v>24</x:v>
      </x:c>
      <x:c r="H763" s="12" t="n">
        <x:v>2040</x:v>
      </x:c>
      <x:c r="I763" s="12" t="n">
        <x:v>7</x:v>
      </x:c>
      <x:c r="J763" s="12" t="n">
        <x:v>616</x:v>
      </x:c>
      <x:c r="K763" s="3" t="str">
        <x:v>Пт</x:v>
      </x:c>
      <x:c r="L763" s="8" t="n">
        <x:v>62.03</x:v>
      </x:c>
      <x:c r="M763" s="32" t="n">
        <x:v>16625.5</x:v>
      </x:c>
    </x:row>
    <x:row r="764" ht="23" customHeight="1">
      <x:c r="A764" s="11" t="n">
        <x:v>10759</x:v>
      </x:c>
      <x:c r="B764" s="31" t="n">
        <x:v>128.1</x:v>
      </x:c>
      <x:c r="C764" s="31" t="n">
        <x:v>75.7</x:v>
      </x:c>
      <x:c r="D764" s="11" t="n">
        <x:v>5</x:v>
      </x:c>
      <x:c r="E764" s="11" t="n">
        <x:v>14</x:v>
      </x:c>
      <x:c r="F764" s="11" t="n">
        <x:v>1980</x:v>
      </x:c>
      <x:c r="G764" s="31" t="n">
        <x:v>27.6</x:v>
      </x:c>
      <x:c r="H764" s="11" t="n">
        <x:v>2317</x:v>
      </x:c>
      <x:c r="I764" s="11" t="n">
        <x:v>8</x:v>
      </x:c>
      <x:c r="J764" s="11" t="n">
        <x:v>542</x:v>
      </x:c>
      <x:c r="K764" s="9" t="str">
        <x:v>Вс</x:v>
      </x:c>
      <x:c r="L764" s="10" t="n">
        <x:v>47.11</x:v>
      </x:c>
      <x:c r="M764" s="31" t="n">
        <x:v>21819.9</x:v>
      </x:c>
    </x:row>
    <x:row r="765" ht="23" customHeight="1">
      <x:c r="A765" s="12" t="n">
        <x:v>10760</x:v>
      </x:c>
      <x:c r="B765" s="32" t="n">
        <x:v>116.3</x:v>
      </x:c>
      <x:c r="C765" s="32" t="n">
        <x:v>66.7</x:v>
      </x:c>
      <x:c r="D765" s="12" t="n">
        <x:v>5</x:v>
      </x:c>
      <x:c r="E765" s="12" t="n">
        <x:v>13</x:v>
      </x:c>
      <x:c r="F765" s="12" t="n">
        <x:v>2000</x:v>
      </x:c>
      <x:c r="G765" s="32" t="n">
        <x:v>30.5</x:v>
      </x:c>
      <x:c r="H765" s="12" t="n">
        <x:v>2406</x:v>
      </x:c>
      <x:c r="I765" s="12" t="n">
        <x:v>6</x:v>
      </x:c>
      <x:c r="J765" s="12" t="n">
        <x:v>691</x:v>
      </x:c>
      <x:c r="K765" s="3" t="str">
        <x:v>Вс</x:v>
      </x:c>
      <x:c r="L765" s="8" t="n">
        <x:v>59.18</x:v>
      </x:c>
      <x:c r="M765" s="32" t="n">
        <x:v>21219.2</x:v>
      </x:c>
    </x:row>
    <x:row r="766" ht="23" customHeight="1">
      <x:c r="A766" s="11" t="n">
        <x:v>10761</x:v>
      </x:c>
      <x:c r="B766" s="31" t="n">
        <x:v>45</x:v>
      </x:c>
      <x:c r="C766" s="31" t="n">
        <x:v>28.3</x:v>
      </x:c>
      <x:c r="D766" s="11" t="n">
        <x:v>2</x:v>
      </x:c>
      <x:c r="E766" s="11" t="n">
        <x:v>1</x:v>
      </x:c>
      <x:c r="F766" s="11" t="n">
        <x:v>1997</x:v>
      </x:c>
      <x:c r="G766" s="31" t="n">
        <x:v>12.4</x:v>
      </x:c>
      <x:c r="H766" s="11" t="n">
        <x:v>1073</x:v>
      </x:c>
      <x:c r="I766" s="11" t="n">
        <x:v>8</x:v>
      </x:c>
      <x:c r="J766" s="11" t="n">
        <x:v>885</x:v>
      </x:c>
      <x:c r="K766" s="9" t="str">
        <x:v>Ср</x:v>
      </x:c>
      <x:c r="L766" s="10" t="n">
        <x:v>43.49</x:v>
      </x:c>
      <x:c r="M766" s="31" t="n">
        <x:v>9447.7</x:v>
      </x:c>
    </x:row>
    <x:row r="767" ht="23" customHeight="1">
      <x:c r="A767" s="12" t="n">
        <x:v>10762</x:v>
      </x:c>
      <x:c r="B767" s="32" t="n">
        <x:v>62.9</x:v>
      </x:c>
      <x:c r="C767" s="32" t="n">
        <x:v>38.1</x:v>
      </x:c>
      <x:c r="D767" s="12" t="n">
        <x:v>2</x:v>
      </x:c>
      <x:c r="E767" s="12" t="n">
        <x:v>8</x:v>
      </x:c>
      <x:c r="F767" s="12" t="n">
        <x:v>2013</x:v>
      </x:c>
      <x:c r="G767" s="32" t="n">
        <x:v>19.8</x:v>
      </x:c>
      <x:c r="H767" s="12" t="n">
        <x:v>1603</x:v>
      </x:c>
      <x:c r="I767" s="12" t="n">
        <x:v>3</x:v>
      </x:c>
      <x:c r="J767" s="12" t="n">
        <x:v>788</x:v>
      </x:c>
      <x:c r="K767" s="3" t="str">
        <x:v>Пн</x:v>
      </x:c>
      <x:c r="L767" s="8" t="n">
        <x:v>59.96</x:v>
      </x:c>
      <x:c r="M767" s="32" t="n">
        <x:v>12657.2</x:v>
      </x:c>
    </x:row>
    <x:row r="768" ht="23" customHeight="1">
      <x:c r="A768" s="11" t="n">
        <x:v>10763</x:v>
      </x:c>
      <x:c r="B768" s="31" t="n">
        <x:v>55.8</x:v>
      </x:c>
      <x:c r="C768" s="31" t="n">
        <x:v>28.4</x:v>
      </x:c>
      <x:c r="D768" s="11" t="n">
        <x:v>3</x:v>
      </x:c>
      <x:c r="E768" s="11" t="n">
        <x:v>12</x:v>
      </x:c>
      <x:c r="F768" s="11" t="n">
        <x:v>1975</x:v>
      </x:c>
      <x:c r="G768" s="31" t="n">
        <x:v>29.7</x:v>
      </x:c>
      <x:c r="H768" s="11" t="n">
        <x:v>2401</x:v>
      </x:c>
      <x:c r="I768" s="11" t="n">
        <x:v>1</x:v>
      </x:c>
      <x:c r="J768" s="11" t="n">
        <x:v>949</x:v>
      </x:c>
      <x:c r="K768" s="9" t="str">
        <x:v>Чт</x:v>
      </x:c>
      <x:c r="L768" s="10" t="n">
        <x:v>35.32</x:v>
      </x:c>
      <x:c r="M768" s="31" t="n">
        <x:v>8307.3</x:v>
      </x:c>
    </x:row>
    <x:row r="769" ht="23" customHeight="1">
      <x:c r="A769" s="12" t="n">
        <x:v>10764</x:v>
      </x:c>
      <x:c r="B769" s="32" t="n">
        <x:v>111.3</x:v>
      </x:c>
      <x:c r="C769" s="32" t="n">
        <x:v>69.2</x:v>
      </x:c>
      <x:c r="D769" s="12" t="n">
        <x:v>4</x:v>
      </x:c>
      <x:c r="E769" s="12" t="n">
        <x:v>19</x:v>
      </x:c>
      <x:c r="F769" s="12" t="n">
        <x:v>2010</x:v>
      </x:c>
      <x:c r="G769" s="32" t="n">
        <x:v>34.7</x:v>
      </x:c>
      <x:c r="H769" s="12" t="n">
        <x:v>2691</x:v>
      </x:c>
      <x:c r="I769" s="12" t="n">
        <x:v>6</x:v>
      </x:c>
      <x:c r="J769" s="12" t="n">
        <x:v>932</x:v>
      </x:c>
      <x:c r="K769" s="3" t="str">
        <x:v>Ср</x:v>
      </x:c>
      <x:c r="L769" s="8" t="n">
        <x:v>50.54</x:v>
      </x:c>
      <x:c r="M769" s="32" t="n">
        <x:v>20342.8</x:v>
      </x:c>
    </x:row>
    <x:row r="770" ht="23" customHeight="1">
      <x:c r="A770" s="11" t="n">
        <x:v>10765</x:v>
      </x:c>
      <x:c r="B770" s="31" t="n">
        <x:v>31.8</x:v>
      </x:c>
      <x:c r="C770" s="31" t="n">
        <x:v>19</x:v>
      </x:c>
      <x:c r="D770" s="11" t="n">
        <x:v>2</x:v>
      </x:c>
      <x:c r="E770" s="11" t="n">
        <x:v>12</x:v>
      </x:c>
      <x:c r="F770" s="11" t="n">
        <x:v>1985</x:v>
      </x:c>
      <x:c r="G770" s="31" t="n">
        <x:v>31.4</x:v>
      </x:c>
      <x:c r="H770" s="11" t="n">
        <x:v>2503</x:v>
      </x:c>
      <x:c r="I770" s="11" t="n">
        <x:v>1</x:v>
      </x:c>
      <x:c r="J770" s="11" t="n">
        <x:v>438</x:v>
      </x:c>
      <x:c r="K770" s="9" t="str">
        <x:v>Сб</x:v>
      </x:c>
      <x:c r="L770" s="10" t="n">
        <x:v>64.71</x:v>
      </x:c>
      <x:c r="M770" s="31" t="n">
        <x:v>4912.2</x:v>
      </x:c>
    </x:row>
    <x:row r="771" ht="23" customHeight="1">
      <x:c r="A771" s="12" t="n">
        <x:v>10766</x:v>
      </x:c>
      <x:c r="B771" s="32" t="n">
        <x:v>91.8</x:v>
      </x:c>
      <x:c r="C771" s="32" t="n">
        <x:v>58.2</x:v>
      </x:c>
      <x:c r="D771" s="12" t="n">
        <x:v>4</x:v>
      </x:c>
      <x:c r="E771" s="12" t="n">
        <x:v>8</x:v>
      </x:c>
      <x:c r="F771" s="12" t="n">
        <x:v>1973</x:v>
      </x:c>
      <x:c r="G771" s="32" t="n">
        <x:v>14.3</x:v>
      </x:c>
      <x:c r="H771" s="12" t="n">
        <x:v>1103</x:v>
      </x:c>
      <x:c r="I771" s="12" t="n">
        <x:v>9</x:v>
      </x:c>
      <x:c r="J771" s="12" t="n">
        <x:v>537</x:v>
      </x:c>
      <x:c r="K771" s="3" t="str">
        <x:v>Пн</x:v>
      </x:c>
      <x:c r="L771" s="8" t="n">
        <x:v>57.01</x:v>
      </x:c>
      <x:c r="M771" s="32" t="n">
        <x:v>15524.6</x:v>
      </x:c>
    </x:row>
    <x:row r="772" ht="23" customHeight="1">
      <x:c r="A772" s="11" t="n">
        <x:v>10767</x:v>
      </x:c>
      <x:c r="B772" s="31" t="n">
        <x:v>113.4</x:v>
      </x:c>
      <x:c r="C772" s="31" t="n">
        <x:v>68.9</x:v>
      </x:c>
      <x:c r="D772" s="11" t="n">
        <x:v>5</x:v>
      </x:c>
      <x:c r="E772" s="11" t="n">
        <x:v>8</x:v>
      </x:c>
      <x:c r="F772" s="11" t="n">
        <x:v>2004</x:v>
      </x:c>
      <x:c r="G772" s="31" t="n">
        <x:v>8.4</x:v>
      </x:c>
      <x:c r="H772" s="11" t="n">
        <x:v>713</x:v>
      </x:c>
      <x:c r="I772" s="11" t="n">
        <x:v>2</x:v>
      </x:c>
      <x:c r="J772" s="11" t="n">
        <x:v>544</x:v>
      </x:c>
      <x:c r="K772" s="9" t="str">
        <x:v>Ср</x:v>
      </x:c>
      <x:c r="L772" s="10" t="n">
        <x:v>52.88</x:v>
      </x:c>
      <x:c r="M772" s="31" t="n">
        <x:v>21529.3</x:v>
      </x:c>
    </x:row>
    <x:row r="773" ht="23" customHeight="1">
      <x:c r="A773" s="12" t="n">
        <x:v>10768</x:v>
      </x:c>
      <x:c r="B773" s="32" t="n">
        <x:v>126.2</x:v>
      </x:c>
      <x:c r="C773" s="32" t="n">
        <x:v>83</x:v>
      </x:c>
      <x:c r="D773" s="12" t="n">
        <x:v>5</x:v>
      </x:c>
      <x:c r="E773" s="12" t="n">
        <x:v>21</x:v>
      </x:c>
      <x:c r="F773" s="12" t="n">
        <x:v>2017</x:v>
      </x:c>
      <x:c r="G773" s="32" t="n">
        <x:v>18.1</x:v>
      </x:c>
      <x:c r="H773" s="12" t="n">
        <x:v>1502</x:v>
      </x:c>
      <x:c r="I773" s="12" t="n">
        <x:v>2</x:v>
      </x:c>
      <x:c r="J773" s="12" t="n">
        <x:v>235</x:v>
      </x:c>
      <x:c r="K773" s="3" t="str">
        <x:v>Пн</x:v>
      </x:c>
      <x:c r="L773" s="8" t="n">
        <x:v>77.05</x:v>
      </x:c>
      <x:c r="M773" s="32" t="n">
        <x:v>24147.8</x:v>
      </x:c>
    </x:row>
    <x:row r="774" ht="23" customHeight="1">
      <x:c r="A774" s="11" t="n">
        <x:v>10769</x:v>
      </x:c>
      <x:c r="B774" s="31" t="n">
        <x:v>66.3</x:v>
      </x:c>
      <x:c r="C774" s="31" t="n">
        <x:v>38.2</x:v>
      </x:c>
      <x:c r="D774" s="11" t="n">
        <x:v>3</x:v>
      </x:c>
      <x:c r="E774" s="11" t="n">
        <x:v>13</x:v>
      </x:c>
      <x:c r="F774" s="11" t="n">
        <x:v>1995</x:v>
      </x:c>
      <x:c r="G774" s="31" t="n">
        <x:v>26.5</x:v>
      </x:c>
      <x:c r="H774" s="11" t="n">
        <x:v>2016</x:v>
      </x:c>
      <x:c r="I774" s="11" t="n">
        <x:v>7</x:v>
      </x:c>
      <x:c r="J774" s="11" t="n">
        <x:v>486</x:v>
      </x:c>
      <x:c r="K774" s="9" t="str">
        <x:v>Пн</x:v>
      </x:c>
      <x:c r="L774" s="10" t="n">
        <x:v>65.35</x:v>
      </x:c>
      <x:c r="M774" s="31" t="n">
        <x:v>11487.2</x:v>
      </x:c>
    </x:row>
    <x:row r="775" ht="23" customHeight="1">
      <x:c r="A775" s="12" t="n">
        <x:v>10770</x:v>
      </x:c>
      <x:c r="B775" s="32" t="n">
        <x:v>120</x:v>
      </x:c>
      <x:c r="C775" s="32" t="n">
        <x:v>78.4</x:v>
      </x:c>
      <x:c r="D775" s="12" t="n">
        <x:v>4</x:v>
      </x:c>
      <x:c r="E775" s="12" t="n">
        <x:v>12</x:v>
      </x:c>
      <x:c r="F775" s="12" t="n">
        <x:v>1981</x:v>
      </x:c>
      <x:c r="G775" s="32" t="n">
        <x:v>18.3</x:v>
      </x:c>
      <x:c r="H775" s="12" t="n">
        <x:v>1463</x:v>
      </x:c>
      <x:c r="I775" s="12" t="n">
        <x:v>2</x:v>
      </x:c>
      <x:c r="J775" s="12" t="n">
        <x:v>124</x:v>
      </x:c>
      <x:c r="K775" s="3" t="str">
        <x:v>Вс</x:v>
      </x:c>
      <x:c r="L775" s="8" t="n">
        <x:v>62.83</x:v>
      </x:c>
      <x:c r="M775" s="32" t="n">
        <x:v>21084.3</x:v>
      </x:c>
    </x:row>
    <x:row r="776" ht="23" customHeight="1">
      <x:c r="A776" s="11" t="n">
        <x:v>10771</x:v>
      </x:c>
      <x:c r="B776" s="31" t="n">
        <x:v>40.4</x:v>
      </x:c>
      <x:c r="C776" s="31" t="n">
        <x:v>23.3</x:v>
      </x:c>
      <x:c r="D776" s="11" t="n">
        <x:v>2</x:v>
      </x:c>
      <x:c r="E776" s="11" t="n">
        <x:v>16</x:v>
      </x:c>
      <x:c r="F776" s="11" t="n">
        <x:v>1980</x:v>
      </x:c>
      <x:c r="G776" s="31" t="n">
        <x:v>17.9</x:v>
      </x:c>
      <x:c r="H776" s="11" t="n">
        <x:v>1488</x:v>
      </x:c>
      <x:c r="I776" s="11" t="n">
        <x:v>8</x:v>
      </x:c>
      <x:c r="J776" s="11" t="n">
        <x:v>605</x:v>
      </x:c>
      <x:c r="K776" s="9" t="str">
        <x:v>Чт</x:v>
      </x:c>
      <x:c r="L776" s="10" t="n">
        <x:v>59.87</x:v>
      </x:c>
      <x:c r="M776" s="31" t="n">
        <x:v>8694.6</x:v>
      </x:c>
    </x:row>
    <x:row r="777" ht="23" customHeight="1">
      <x:c r="A777" s="12" t="n">
        <x:v>10772</x:v>
      </x:c>
      <x:c r="B777" s="32" t="n">
        <x:v>122.8</x:v>
      </x:c>
      <x:c r="C777" s="32" t="n">
        <x:v>68.8</x:v>
      </x:c>
      <x:c r="D777" s="12" t="n">
        <x:v>5</x:v>
      </x:c>
      <x:c r="E777" s="12" t="n">
        <x:v>1</x:v>
      </x:c>
      <x:c r="F777" s="12" t="n">
        <x:v>2006</x:v>
      </x:c>
      <x:c r="G777" s="32" t="n">
        <x:v>29.7</x:v>
      </x:c>
      <x:c r="H777" s="12" t="n">
        <x:v>2367</x:v>
      </x:c>
      <x:c r="I777" s="12" t="n">
        <x:v>6</x:v>
      </x:c>
      <x:c r="J777" s="12" t="n">
        <x:v>424</x:v>
      </x:c>
      <x:c r="K777" s="3" t="str">
        <x:v>Вс</x:v>
      </x:c>
      <x:c r="L777" s="8" t="n">
        <x:v>61.74</x:v>
      </x:c>
      <x:c r="M777" s="32" t="n">
        <x:v>22126.9</x:v>
      </x:c>
    </x:row>
    <x:row r="778" ht="23" customHeight="1">
      <x:c r="A778" s="11" t="n">
        <x:v>10773</x:v>
      </x:c>
      <x:c r="B778" s="31" t="n">
        <x:v>42.3</x:v>
      </x:c>
      <x:c r="C778" s="31" t="n">
        <x:v>28.5</x:v>
      </x:c>
      <x:c r="D778" s="11" t="n">
        <x:v>3</x:v>
      </x:c>
      <x:c r="E778" s="11" t="n">
        <x:v>13</x:v>
      </x:c>
      <x:c r="F778" s="11" t="n">
        <x:v>1994</x:v>
      </x:c>
      <x:c r="G778" s="31" t="n">
        <x:v>13.9</x:v>
      </x:c>
      <x:c r="H778" s="11" t="n">
        <x:v>1148</x:v>
      </x:c>
      <x:c r="I778" s="11" t="n">
        <x:v>7</x:v>
      </x:c>
      <x:c r="J778" s="11" t="n">
        <x:v>794</x:v>
      </x:c>
      <x:c r="K778" s="9" t="str">
        <x:v>Пт</x:v>
      </x:c>
      <x:c r="L778" s="10" t="n">
        <x:v>74.86</x:v>
      </x:c>
      <x:c r="M778" s="31" t="n">
        <x:v>7762.2</x:v>
      </x:c>
    </x:row>
    <x:row r="779" ht="23" customHeight="1">
      <x:c r="A779" s="12" t="n">
        <x:v>10774</x:v>
      </x:c>
      <x:c r="B779" s="32" t="n">
        <x:v>72.5</x:v>
      </x:c>
      <x:c r="C779" s="32" t="n">
        <x:v>46.3</x:v>
      </x:c>
      <x:c r="D779" s="12" t="n">
        <x:v>3</x:v>
      </x:c>
      <x:c r="E779" s="12" t="n">
        <x:v>7</x:v>
      </x:c>
      <x:c r="F779" s="12" t="n">
        <x:v>1987</x:v>
      </x:c>
      <x:c r="G779" s="32" t="n">
        <x:v>30.4</x:v>
      </x:c>
      <x:c r="H779" s="12" t="n">
        <x:v>2450</x:v>
      </x:c>
      <x:c r="I779" s="12" t="n">
        <x:v>7</x:v>
      </x:c>
      <x:c r="J779" s="12" t="n">
        <x:v>779</x:v>
      </x:c>
      <x:c r="K779" s="3" t="str">
        <x:v>Чт</x:v>
      </x:c>
      <x:c r="L779" s="8" t="n">
        <x:v>43.73</x:v>
      </x:c>
      <x:c r="M779" s="32" t="n">
        <x:v>12063.1</x:v>
      </x:c>
    </x:row>
    <x:row r="780" ht="23" customHeight="1">
      <x:c r="A780" s="11" t="n">
        <x:v>10775</x:v>
      </x:c>
      <x:c r="B780" s="31" t="n">
        <x:v>117.3</x:v>
      </x:c>
      <x:c r="C780" s="31" t="n">
        <x:v>80.3</x:v>
      </x:c>
      <x:c r="D780" s="11" t="n">
        <x:v>5</x:v>
      </x:c>
      <x:c r="E780" s="11" t="n">
        <x:v>5</x:v>
      </x:c>
      <x:c r="F780" s="11" t="n">
        <x:v>1988</x:v>
      </x:c>
      <x:c r="G780" s="31" t="n">
        <x:v>15.4</x:v>
      </x:c>
      <x:c r="H780" s="11" t="n">
        <x:v>1249</x:v>
      </x:c>
      <x:c r="I780" s="11" t="n">
        <x:v>6</x:v>
      </x:c>
      <x:c r="J780" s="11" t="n">
        <x:v>437</x:v>
      </x:c>
      <x:c r="K780" s="9" t="str">
        <x:v>Пн</x:v>
      </x:c>
      <x:c r="L780" s="10" t="n">
        <x:v>65.14</x:v>
      </x:c>
      <x:c r="M780" s="31" t="n">
        <x:v>21434.2</x:v>
      </x:c>
    </x:row>
    <x:row r="781" ht="23" customHeight="1">
      <x:c r="A781" s="12" t="n">
        <x:v>10776</x:v>
      </x:c>
      <x:c r="B781" s="32" t="n">
        <x:v>44.8</x:v>
      </x:c>
      <x:c r="C781" s="32" t="n">
        <x:v>26.8</x:v>
      </x:c>
      <x:c r="D781" s="12" t="n">
        <x:v>2</x:v>
      </x:c>
      <x:c r="E781" s="12" t="n">
        <x:v>8</x:v>
      </x:c>
      <x:c r="F781" s="12" t="n">
        <x:v>1992</x:v>
      </x:c>
      <x:c r="G781" s="32" t="n">
        <x:v>12.8</x:v>
      </x:c>
      <x:c r="H781" s="12" t="n">
        <x:v>1010</x:v>
      </x:c>
      <x:c r="I781" s="12" t="n">
        <x:v>9</x:v>
      </x:c>
      <x:c r="J781" s="12" t="n">
        <x:v>789</x:v>
      </x:c>
      <x:c r="K781" s="3" t="str">
        <x:v>Ср</x:v>
      </x:c>
      <x:c r="L781" s="8" t="n">
        <x:v>55.35</x:v>
      </x:c>
      <x:c r="M781" s="32" t="n">
        <x:v>8609.4</x:v>
      </x:c>
    </x:row>
    <x:row r="782" ht="23" customHeight="1">
      <x:c r="A782" s="11" t="n">
        <x:v>10777</x:v>
      </x:c>
      <x:c r="B782" s="31" t="n">
        <x:v>53.7</x:v>
      </x:c>
      <x:c r="C782" s="31" t="n">
        <x:v>37.6</x:v>
      </x:c>
      <x:c r="D782" s="11" t="n">
        <x:v>1</x:v>
      </x:c>
      <x:c r="E782" s="11" t="n">
        <x:v>25</x:v>
      </x:c>
      <x:c r="F782" s="11" t="n">
        <x:v>2007</x:v>
      </x:c>
      <x:c r="G782" s="31" t="n">
        <x:v>17</x:v>
      </x:c>
      <x:c r="H782" s="11" t="n">
        <x:v>1299</x:v>
      </x:c>
      <x:c r="I782" s="11" t="n">
        <x:v>9</x:v>
      </x:c>
      <x:c r="J782" s="11" t="n">
        <x:v>984</x:v>
      </x:c>
      <x:c r="K782" s="9" t="str">
        <x:v>Сб</x:v>
      </x:c>
      <x:c r="L782" s="10" t="n">
        <x:v>44.25</x:v>
      </x:c>
      <x:c r="M782" s="31" t="n">
        <x:v>11688</x:v>
      </x:c>
    </x:row>
    <x:row r="783" ht="23" customHeight="1">
      <x:c r="A783" s="12" t="n">
        <x:v>10778</x:v>
      </x:c>
      <x:c r="B783" s="32" t="n">
        <x:v>108.9</x:v>
      </x:c>
      <x:c r="C783" s="32" t="n">
        <x:v>62.2</x:v>
      </x:c>
      <x:c r="D783" s="12" t="n">
        <x:v>4</x:v>
      </x:c>
      <x:c r="E783" s="12" t="n">
        <x:v>14</x:v>
      </x:c>
      <x:c r="F783" s="12" t="n">
        <x:v>2023</x:v>
      </x:c>
      <x:c r="G783" s="32" t="n">
        <x:v>27.2</x:v>
      </x:c>
      <x:c r="H783" s="12" t="n">
        <x:v>2120</x:v>
      </x:c>
      <x:c r="I783" s="12" t="n">
        <x:v>7</x:v>
      </x:c>
      <x:c r="J783" s="12" t="n">
        <x:v>194</x:v>
      </x:c>
      <x:c r="K783" s="3" t="str">
        <x:v>Чт</x:v>
      </x:c>
      <x:c r="L783" s="8" t="n">
        <x:v>48.5</x:v>
      </x:c>
      <x:c r="M783" s="32" t="n">
        <x:v>19719.9</x:v>
      </x:c>
    </x:row>
    <x:row r="784" ht="23" customHeight="1">
      <x:c r="A784" s="11" t="n">
        <x:v>10779</x:v>
      </x:c>
      <x:c r="B784" s="31" t="n">
        <x:v>108.6</x:v>
      </x:c>
      <x:c r="C784" s="31" t="n">
        <x:v>60.1</x:v>
      </x:c>
      <x:c r="D784" s="11" t="n">
        <x:v>5</x:v>
      </x:c>
      <x:c r="E784" s="11" t="n">
        <x:v>23</x:v>
      </x:c>
      <x:c r="F784" s="11" t="n">
        <x:v>1987</x:v>
      </x:c>
      <x:c r="G784" s="31" t="n">
        <x:v>6.2</x:v>
      </x:c>
      <x:c r="H784" s="11" t="n">
        <x:v>531</x:v>
      </x:c>
      <x:c r="I784" s="11" t="n">
        <x:v>9</x:v>
      </x:c>
      <x:c r="J784" s="11" t="n">
        <x:v>644</x:v>
      </x:c>
      <x:c r="K784" s="9" t="str">
        <x:v>Пт</x:v>
      </x:c>
      <x:c r="L784" s="10" t="n">
        <x:v>53.29</x:v>
      </x:c>
      <x:c r="M784" s="31" t="n">
        <x:v>21634.6</x:v>
      </x:c>
    </x:row>
    <x:row r="785" ht="23" customHeight="1">
      <x:c r="A785" s="12" t="n">
        <x:v>10780</x:v>
      </x:c>
      <x:c r="B785" s="32" t="n">
        <x:v>99.8</x:v>
      </x:c>
      <x:c r="C785" s="32" t="n">
        <x:v>57.7</x:v>
      </x:c>
      <x:c r="D785" s="12" t="n">
        <x:v>4</x:v>
      </x:c>
      <x:c r="E785" s="12" t="n">
        <x:v>13</x:v>
      </x:c>
      <x:c r="F785" s="12" t="n">
        <x:v>1995</x:v>
      </x:c>
      <x:c r="G785" s="32" t="n">
        <x:v>8.5</x:v>
      </x:c>
      <x:c r="H785" s="12" t="n">
        <x:v>681</x:v>
      </x:c>
      <x:c r="I785" s="12" t="n">
        <x:v>3</x:v>
      </x:c>
      <x:c r="J785" s="12" t="n">
        <x:v>722</x:v>
      </x:c>
      <x:c r="K785" s="3" t="str">
        <x:v>Пн</x:v>
      </x:c>
      <x:c r="L785" s="8" t="n">
        <x:v>37.1</x:v>
      </x:c>
      <x:c r="M785" s="32" t="n">
        <x:v>20191.2</x:v>
      </x:c>
    </x:row>
    <x:row r="786" ht="23" customHeight="1">
      <x:c r="A786" s="11" t="n">
        <x:v>10781</x:v>
      </x:c>
      <x:c r="B786" s="31" t="n">
        <x:v>105.7</x:v>
      </x:c>
      <x:c r="C786" s="31" t="n">
        <x:v>60.9</x:v>
      </x:c>
      <x:c r="D786" s="11" t="n">
        <x:v>4</x:v>
      </x:c>
      <x:c r="E786" s="11" t="n">
        <x:v>15</x:v>
      </x:c>
      <x:c r="F786" s="11" t="n">
        <x:v>1975</x:v>
      </x:c>
      <x:c r="G786" s="31" t="n">
        <x:v>33.4</x:v>
      </x:c>
      <x:c r="H786" s="11" t="n">
        <x:v>2665</x:v>
      </x:c>
      <x:c r="I786" s="11" t="n">
        <x:v>3</x:v>
      </x:c>
      <x:c r="J786" s="11" t="n">
        <x:v>245</x:v>
      </x:c>
      <x:c r="K786" s="9" t="str">
        <x:v>Сб</x:v>
      </x:c>
      <x:c r="L786" s="10" t="n">
        <x:v>62.96</x:v>
      </x:c>
      <x:c r="M786" s="31" t="n">
        <x:v>18408.2</x:v>
      </x:c>
    </x:row>
    <x:row r="787" ht="23" customHeight="1">
      <x:c r="A787" s="12" t="n">
        <x:v>10782</x:v>
      </x:c>
      <x:c r="B787" s="32" t="n">
        <x:v>88.8</x:v>
      </x:c>
      <x:c r="C787" s="32" t="n">
        <x:v>54.7</x:v>
      </x:c>
      <x:c r="D787" s="12" t="n">
        <x:v>4</x:v>
      </x:c>
      <x:c r="E787" s="12" t="n">
        <x:v>23</x:v>
      </x:c>
      <x:c r="F787" s="12" t="n">
        <x:v>1973</x:v>
      </x:c>
      <x:c r="G787" s="32" t="n">
        <x:v>7.8</x:v>
      </x:c>
      <x:c r="H787" s="12" t="n">
        <x:v>603</x:v>
      </x:c>
      <x:c r="I787" s="12" t="n">
        <x:v>1</x:v>
      </x:c>
      <x:c r="J787" s="12" t="n">
        <x:v>992</x:v>
      </x:c>
      <x:c r="K787" s="3" t="str">
        <x:v>Чт</x:v>
      </x:c>
      <x:c r="L787" s="8" t="n">
        <x:v>48.46</x:v>
      </x:c>
      <x:c r="M787" s="32" t="n">
        <x:v>16185.6</x:v>
      </x:c>
    </x:row>
    <x:row r="788" ht="23" customHeight="1">
      <x:c r="A788" s="11" t="n">
        <x:v>10783</x:v>
      </x:c>
      <x:c r="B788" s="31" t="n">
        <x:v>56.2</x:v>
      </x:c>
      <x:c r="C788" s="31" t="n">
        <x:v>37.8</x:v>
      </x:c>
      <x:c r="D788" s="11" t="n">
        <x:v>3</x:v>
      </x:c>
      <x:c r="E788" s="11" t="n">
        <x:v>17</x:v>
      </x:c>
      <x:c r="F788" s="11" t="n">
        <x:v>2013</x:v>
      </x:c>
      <x:c r="G788" s="31" t="n">
        <x:v>20.7</x:v>
      </x:c>
      <x:c r="H788" s="11" t="n">
        <x:v>1641</x:v>
      </x:c>
      <x:c r="I788" s="11" t="n">
        <x:v>5</x:v>
      </x:c>
      <x:c r="J788" s="11" t="n">
        <x:v>330</x:v>
      </x:c>
      <x:c r="K788" s="9" t="str">
        <x:v>Вс</x:v>
      </x:c>
      <x:c r="L788" s="10" t="n">
        <x:v>51.27</x:v>
      </x:c>
      <x:c r="M788" s="31" t="n">
        <x:v>11026.6</x:v>
      </x:c>
    </x:row>
    <x:row r="789" ht="23" customHeight="1">
      <x:c r="A789" s="12" t="n">
        <x:v>10784</x:v>
      </x:c>
      <x:c r="B789" s="32" t="n">
        <x:v>66.7</x:v>
      </x:c>
      <x:c r="C789" s="32" t="n">
        <x:v>36.7</x:v>
      </x:c>
      <x:c r="D789" s="12" t="n">
        <x:v>3</x:v>
      </x:c>
      <x:c r="E789" s="12" t="n">
        <x:v>15</x:v>
      </x:c>
      <x:c r="F789" s="12" t="n">
        <x:v>2020</x:v>
      </x:c>
      <x:c r="G789" s="32" t="n">
        <x:v>21.1</x:v>
      </x:c>
      <x:c r="H789" s="12" t="n">
        <x:v>1740</x:v>
      </x:c>
      <x:c r="I789" s="12" t="n">
        <x:v>4</x:v>
      </x:c>
      <x:c r="J789" s="12" t="n">
        <x:v>883</x:v>
      </x:c>
      <x:c r="K789" s="3" t="str">
        <x:v>Вс</x:v>
      </x:c>
      <x:c r="L789" s="8" t="n">
        <x:v>70.36</x:v>
      </x:c>
      <x:c r="M789" s="32" t="n">
        <x:v>14029.7</x:v>
      </x:c>
    </x:row>
    <x:row r="790" ht="23" customHeight="1">
      <x:c r="A790" s="11" t="n">
        <x:v>10785</x:v>
      </x:c>
      <x:c r="B790" s="31" t="n">
        <x:v>48.3</x:v>
      </x:c>
      <x:c r="C790" s="31" t="n">
        <x:v>34.6</x:v>
      </x:c>
      <x:c r="D790" s="11" t="n">
        <x:v>2</x:v>
      </x:c>
      <x:c r="E790" s="11" t="n">
        <x:v>20</x:v>
      </x:c>
      <x:c r="F790" s="11" t="n">
        <x:v>1998</x:v>
      </x:c>
      <x:c r="G790" s="31" t="n">
        <x:v>18.2</x:v>
      </x:c>
      <x:c r="H790" s="11" t="n">
        <x:v>1439</x:v>
      </x:c>
      <x:c r="I790" s="11" t="n">
        <x:v>2</x:v>
      </x:c>
      <x:c r="J790" s="11" t="n">
        <x:v>947</x:v>
      </x:c>
      <x:c r="K790" s="9" t="str">
        <x:v>Чт</x:v>
      </x:c>
      <x:c r="L790" s="10" t="n">
        <x:v>51.95</x:v>
      </x:c>
      <x:c r="M790" s="31" t="n">
        <x:v>10415.7</x:v>
      </x:c>
    </x:row>
    <x:row r="791" ht="23" customHeight="1">
      <x:c r="A791" s="12" t="n">
        <x:v>10786</x:v>
      </x:c>
      <x:c r="B791" s="32" t="n">
        <x:v>129.7</x:v>
      </x:c>
      <x:c r="C791" s="32" t="n">
        <x:v>87.3</x:v>
      </x:c>
      <x:c r="D791" s="12" t="n">
        <x:v>5</x:v>
      </x:c>
      <x:c r="E791" s="12" t="n">
        <x:v>18</x:v>
      </x:c>
      <x:c r="F791" s="12" t="n">
        <x:v>2003</x:v>
      </x:c>
      <x:c r="G791" s="32" t="n">
        <x:v>23.3</x:v>
      </x:c>
      <x:c r="H791" s="12" t="n">
        <x:v>1797</x:v>
      </x:c>
      <x:c r="I791" s="12" t="n">
        <x:v>9</x:v>
      </x:c>
      <x:c r="J791" s="12" t="n">
        <x:v>594</x:v>
      </x:c>
      <x:c r="K791" s="3" t="str">
        <x:v>Чт</x:v>
      </x:c>
      <x:c r="L791" s="8" t="n">
        <x:v>73.29</x:v>
      </x:c>
      <x:c r="M791" s="32" t="n">
        <x:v>24193</x:v>
      </x:c>
    </x:row>
    <x:row r="792" ht="23" customHeight="1">
      <x:c r="A792" s="11" t="n">
        <x:v>10787</x:v>
      </x:c>
      <x:c r="B792" s="31" t="n">
        <x:v>93.3</x:v>
      </x:c>
      <x:c r="C792" s="31" t="n">
        <x:v>55.4</x:v>
      </x:c>
      <x:c r="D792" s="11" t="n">
        <x:v>3</x:v>
      </x:c>
      <x:c r="E792" s="11" t="n">
        <x:v>18</x:v>
      </x:c>
      <x:c r="F792" s="11" t="n">
        <x:v>1986</x:v>
      </x:c>
      <x:c r="G792" s="31" t="n">
        <x:v>9.6</x:v>
      </x:c>
      <x:c r="H792" s="11" t="n">
        <x:v>805</x:v>
      </x:c>
      <x:c r="I792" s="11" t="n">
        <x:v>3</x:v>
      </x:c>
      <x:c r="J792" s="11" t="n">
        <x:v>137</x:v>
      </x:c>
      <x:c r="K792" s="9" t="str">
        <x:v>Чт</x:v>
      </x:c>
      <x:c r="L792" s="10" t="n">
        <x:v>42.13</x:v>
      </x:c>
      <x:c r="M792" s="31" t="n">
        <x:v>18481.4</x:v>
      </x:c>
    </x:row>
    <x:row r="793" ht="23" customHeight="1">
      <x:c r="A793" s="12" t="n">
        <x:v>10788</x:v>
      </x:c>
      <x:c r="B793" s="32" t="n">
        <x:v>72.9</x:v>
      </x:c>
      <x:c r="C793" s="32" t="n">
        <x:v>41.7</x:v>
      </x:c>
      <x:c r="D793" s="12" t="n">
        <x:v>4</x:v>
      </x:c>
      <x:c r="E793" s="12" t="n">
        <x:v>2</x:v>
      </x:c>
      <x:c r="F793" s="12" t="n">
        <x:v>2012</x:v>
      </x:c>
      <x:c r="G793" s="32" t="n">
        <x:v>20.2</x:v>
      </x:c>
      <x:c r="H793" s="12" t="n">
        <x:v>1606</x:v>
      </x:c>
      <x:c r="I793" s="12" t="n">
        <x:v>8</x:v>
      </x:c>
      <x:c r="J793" s="12" t="n">
        <x:v>524</x:v>
      </x:c>
      <x:c r="K793" s="3" t="str">
        <x:v>Сб</x:v>
      </x:c>
      <x:c r="L793" s="8" t="n">
        <x:v>33.54</x:v>
      </x:c>
      <x:c r="M793" s="32" t="n">
        <x:v>14888.1</x:v>
      </x:c>
    </x:row>
    <x:row r="794" ht="23" customHeight="1">
      <x:c r="A794" s="11" t="n">
        <x:v>10789</x:v>
      </x:c>
      <x:c r="B794" s="31" t="n">
        <x:v>79.7</x:v>
      </x:c>
      <x:c r="C794" s="31" t="n">
        <x:v>46.3</x:v>
      </x:c>
      <x:c r="D794" s="11" t="n">
        <x:v>3</x:v>
      </x:c>
      <x:c r="E794" s="11" t="n">
        <x:v>4</x:v>
      </x:c>
      <x:c r="F794" s="11" t="n">
        <x:v>2012</x:v>
      </x:c>
      <x:c r="G794" s="31" t="n">
        <x:v>14.3</x:v>
      </x:c>
      <x:c r="H794" s="11" t="n">
        <x:v>1146</x:v>
      </x:c>
      <x:c r="I794" s="11" t="n">
        <x:v>6</x:v>
      </x:c>
      <x:c r="J794" s="11" t="n">
        <x:v>746</x:v>
      </x:c>
      <x:c r="K794" s="9" t="str">
        <x:v>Вс</x:v>
      </x:c>
      <x:c r="L794" s="10" t="n">
        <x:v>45.65</x:v>
      </x:c>
      <x:c r="M794" s="31" t="n">
        <x:v>16150</x:v>
      </x:c>
    </x:row>
    <x:row r="795" ht="23" customHeight="1">
      <x:c r="A795" s="12" t="n">
        <x:v>10790</x:v>
      </x:c>
      <x:c r="B795" s="32" t="n">
        <x:v>134.1</x:v>
      </x:c>
      <x:c r="C795" s="32" t="n">
        <x:v>73.3</x:v>
      </x:c>
      <x:c r="D795" s="12" t="n">
        <x:v>5</x:v>
      </x:c>
      <x:c r="E795" s="12" t="n">
        <x:v>1</x:v>
      </x:c>
      <x:c r="F795" s="12" t="n">
        <x:v>2022</x:v>
      </x:c>
      <x:c r="G795" s="32" t="n">
        <x:v>23.8</x:v>
      </x:c>
      <x:c r="H795" s="12" t="n">
        <x:v>1984</x:v>
      </x:c>
      <x:c r="I795" s="12" t="n">
        <x:v>5</x:v>
      </x:c>
      <x:c r="J795" s="12" t="n">
        <x:v>945</x:v>
      </x:c>
      <x:c r="K795" s="3" t="str">
        <x:v>Ср</x:v>
      </x:c>
      <x:c r="L795" s="8" t="n">
        <x:v>7.78</x:v>
      </x:c>
      <x:c r="M795" s="32" t="n">
        <x:v>24970.9</x:v>
      </x:c>
    </x:row>
    <x:row r="796" ht="23" customHeight="1">
      <x:c r="A796" s="11" t="n">
        <x:v>10791</x:v>
      </x:c>
      <x:c r="B796" s="31" t="n">
        <x:v>45.2</x:v>
      </x:c>
      <x:c r="C796" s="31" t="n">
        <x:v>24</x:v>
      </x:c>
      <x:c r="D796" s="11" t="n">
        <x:v>2</x:v>
      </x:c>
      <x:c r="E796" s="11" t="n">
        <x:v>4</x:v>
      </x:c>
      <x:c r="F796" s="11" t="n">
        <x:v>1985</x:v>
      </x:c>
      <x:c r="G796" s="31" t="n">
        <x:v>6.7</x:v>
      </x:c>
      <x:c r="H796" s="11" t="n">
        <x:v>535</x:v>
      </x:c>
      <x:c r="I796" s="11" t="n">
        <x:v>1</x:v>
      </x:c>
      <x:c r="J796" s="11" t="n">
        <x:v>846</x:v>
      </x:c>
      <x:c r="K796" s="9" t="str">
        <x:v>Пт</x:v>
      </x:c>
      <x:c r="L796" s="10" t="n">
        <x:v>63.59</x:v>
      </x:c>
      <x:c r="M796" s="31" t="n">
        <x:v>8912.8</x:v>
      </x:c>
    </x:row>
    <x:row r="797" ht="23" customHeight="1">
      <x:c r="A797" s="12" t="n">
        <x:v>10792</x:v>
      </x:c>
      <x:c r="B797" s="32" t="n">
        <x:v>93.7</x:v>
      </x:c>
      <x:c r="C797" s="32" t="n">
        <x:v>60.2</x:v>
      </x:c>
      <x:c r="D797" s="12" t="n">
        <x:v>4</x:v>
      </x:c>
      <x:c r="E797" s="12" t="n">
        <x:v>18</x:v>
      </x:c>
      <x:c r="F797" s="12" t="n">
        <x:v>1971</x:v>
      </x:c>
      <x:c r="G797" s="32" t="n">
        <x:v>20.8</x:v>
      </x:c>
      <x:c r="H797" s="12" t="n">
        <x:v>1678</x:v>
      </x:c>
      <x:c r="I797" s="12" t="n">
        <x:v>4</x:v>
      </x:c>
      <x:c r="J797" s="12" t="n">
        <x:v>536</x:v>
      </x:c>
      <x:c r="K797" s="3" t="str">
        <x:v>Пт</x:v>
      </x:c>
      <x:c r="L797" s="8" t="n">
        <x:v>34.42</x:v>
      </x:c>
      <x:c r="M797" s="32" t="n">
        <x:v>16192.4</x:v>
      </x:c>
    </x:row>
    <x:row r="798" ht="23" customHeight="1">
      <x:c r="A798" s="11" t="n">
        <x:v>10793</x:v>
      </x:c>
      <x:c r="B798" s="31" t="n">
        <x:v>84.7</x:v>
      </x:c>
      <x:c r="C798" s="31" t="n">
        <x:v>49.5</x:v>
      </x:c>
      <x:c r="D798" s="11" t="n">
        <x:v>4</x:v>
      </x:c>
      <x:c r="E798" s="11" t="n">
        <x:v>5</x:v>
      </x:c>
      <x:c r="F798" s="11" t="n">
        <x:v>2003</x:v>
      </x:c>
      <x:c r="G798" s="31" t="n">
        <x:v>8.1</x:v>
      </x:c>
      <x:c r="H798" s="11" t="n">
        <x:v>589</x:v>
      </x:c>
      <x:c r="I798" s="11" t="n">
        <x:v>3</x:v>
      </x:c>
      <x:c r="J798" s="11" t="n">
        <x:v>930</x:v>
      </x:c>
      <x:c r="K798" s="9" t="str">
        <x:v>Пн</x:v>
      </x:c>
      <x:c r="L798" s="10" t="n">
        <x:v>40.73</x:v>
      </x:c>
      <x:c r="M798" s="31" t="n">
        <x:v>17072.8</x:v>
      </x:c>
    </x:row>
    <x:row r="799" ht="23" customHeight="1">
      <x:c r="A799" s="12" t="n">
        <x:v>10794</x:v>
      </x:c>
      <x:c r="B799" s="32" t="n">
        <x:v>96.5</x:v>
      </x:c>
      <x:c r="C799" s="32" t="n">
        <x:v>57.5</x:v>
      </x:c>
      <x:c r="D799" s="12" t="n">
        <x:v>5</x:v>
      </x:c>
      <x:c r="E799" s="12" t="n">
        <x:v>19</x:v>
      </x:c>
      <x:c r="F799" s="12" t="n">
        <x:v>1977</x:v>
      </x:c>
      <x:c r="G799" s="32" t="n">
        <x:v>11.2</x:v>
      </x:c>
      <x:c r="H799" s="12" t="n">
        <x:v>885</x:v>
      </x:c>
      <x:c r="I799" s="12" t="n">
        <x:v>1</x:v>
      </x:c>
      <x:c r="J799" s="12" t="n">
        <x:v>467</x:v>
      </x:c>
      <x:c r="K799" s="3" t="str">
        <x:v>Вт</x:v>
      </x:c>
      <x:c r="L799" s="8" t="n">
        <x:v>60.74</x:v>
      </x:c>
      <x:c r="M799" s="32" t="n">
        <x:v>17591.1</x:v>
      </x:c>
    </x:row>
    <x:row r="800" ht="23" customHeight="1">
      <x:c r="A800" s="11" t="n">
        <x:v>10795</x:v>
      </x:c>
      <x:c r="B800" s="31" t="n">
        <x:v>30</x:v>
      </x:c>
      <x:c r="C800" s="31" t="n">
        <x:v>18.9</x:v>
      </x:c>
      <x:c r="D800" s="11" t="n">
        <x:v>1</x:v>
      </x:c>
      <x:c r="E800" s="11" t="n">
        <x:v>15</x:v>
      </x:c>
      <x:c r="F800" s="11" t="n">
        <x:v>1982</x:v>
      </x:c>
      <x:c r="G800" s="31" t="n">
        <x:v>9.2</x:v>
      </x:c>
      <x:c r="H800" s="11" t="n">
        <x:v>766</x:v>
      </x:c>
      <x:c r="I800" s="11" t="n">
        <x:v>5</x:v>
      </x:c>
      <x:c r="J800" s="11" t="n">
        <x:v>444</x:v>
      </x:c>
      <x:c r="K800" s="9" t="str">
        <x:v>Ср</x:v>
      </x:c>
      <x:c r="L800" s="10" t="n">
        <x:v>51.79</x:v>
      </x:c>
      <x:c r="M800" s="31" t="n">
        <x:v>6698.8</x:v>
      </x:c>
    </x:row>
    <x:row r="801" ht="23" customHeight="1">
      <x:c r="A801" s="12" t="n">
        <x:v>10796</x:v>
      </x:c>
      <x:c r="B801" s="32" t="n">
        <x:v>125.7</x:v>
      </x:c>
      <x:c r="C801" s="32" t="n">
        <x:v>80.4</x:v>
      </x:c>
      <x:c r="D801" s="12" t="n">
        <x:v>5</x:v>
      </x:c>
      <x:c r="E801" s="12" t="n">
        <x:v>8</x:v>
      </x:c>
      <x:c r="F801" s="12" t="n">
        <x:v>2011</x:v>
      </x:c>
      <x:c r="G801" s="32" t="n">
        <x:v>8</x:v>
      </x:c>
      <x:c r="H801" s="12" t="n">
        <x:v>562</x:v>
      </x:c>
      <x:c r="I801" s="12" t="n">
        <x:v>6</x:v>
      </x:c>
      <x:c r="J801" s="12" t="n">
        <x:v>259</x:v>
      </x:c>
      <x:c r="K801" s="3" t="str">
        <x:v>Вс</x:v>
      </x:c>
      <x:c r="L801" s="8" t="n">
        <x:v>43.39</x:v>
      </x:c>
      <x:c r="M801" s="32" t="n">
        <x:v>24264.4</x:v>
      </x:c>
    </x:row>
    <x:row r="802" ht="23" customHeight="1">
      <x:c r="A802" s="11" t="n">
        <x:v>10797</x:v>
      </x:c>
      <x:c r="B802" s="31" t="n">
        <x:v>132.4</x:v>
      </x:c>
      <x:c r="C802" s="31" t="n">
        <x:v>88.6</x:v>
      </x:c>
      <x:c r="D802" s="11" t="n">
        <x:v>5</x:v>
      </x:c>
      <x:c r="E802" s="11" t="n">
        <x:v>20</x:v>
      </x:c>
      <x:c r="F802" s="11" t="n">
        <x:v>1977</x:v>
      </x:c>
      <x:c r="G802" s="31" t="n">
        <x:v>29.2</x:v>
      </x:c>
      <x:c r="H802" s="11" t="n">
        <x:v>2346</x:v>
      </x:c>
      <x:c r="I802" s="11" t="n">
        <x:v>2</x:v>
      </x:c>
      <x:c r="J802" s="11" t="n">
        <x:v>649</x:v>
      </x:c>
      <x:c r="K802" s="9" t="str">
        <x:v>Пн</x:v>
      </x:c>
      <x:c r="L802" s="10" t="n">
        <x:v>19.45</x:v>
      </x:c>
      <x:c r="M802" s="31" t="n">
        <x:v>23112</x:v>
      </x:c>
    </x:row>
    <x:row r="803" ht="23" customHeight="1">
      <x:c r="A803" s="12" t="n">
        <x:v>10798</x:v>
      </x:c>
      <x:c r="B803" s="32" t="n">
        <x:v>91.3</x:v>
      </x:c>
      <x:c r="C803" s="32" t="n">
        <x:v>52</x:v>
      </x:c>
      <x:c r="D803" s="12" t="n">
        <x:v>4</x:v>
      </x:c>
      <x:c r="E803" s="12" t="n">
        <x:v>17</x:v>
      </x:c>
      <x:c r="F803" s="12" t="n">
        <x:v>1999</x:v>
      </x:c>
      <x:c r="G803" s="32" t="n">
        <x:v>11.4</x:v>
      </x:c>
      <x:c r="H803" s="12" t="n">
        <x:v>917</x:v>
      </x:c>
      <x:c r="I803" s="12" t="n">
        <x:v>3</x:v>
      </x:c>
      <x:c r="J803" s="12" t="n">
        <x:v>761</x:v>
      </x:c>
      <x:c r="K803" s="3" t="str">
        <x:v>Пн</x:v>
      </x:c>
      <x:c r="L803" s="8" t="n">
        <x:v>69.51</x:v>
      </x:c>
      <x:c r="M803" s="32" t="n">
        <x:v>18231.1</x:v>
      </x:c>
    </x:row>
    <x:row r="804" ht="23" customHeight="1">
      <x:c r="A804" s="11" t="n">
        <x:v>10799</x:v>
      </x:c>
      <x:c r="B804" s="31" t="n">
        <x:v>106</x:v>
      </x:c>
      <x:c r="C804" s="31" t="n">
        <x:v>63.5</x:v>
      </x:c>
      <x:c r="D804" s="11" t="n">
        <x:v>5</x:v>
      </x:c>
      <x:c r="E804" s="11" t="n">
        <x:v>1</x:v>
      </x:c>
      <x:c r="F804" s="11" t="n">
        <x:v>2001</x:v>
      </x:c>
      <x:c r="G804" s="31" t="n">
        <x:v>32.6</x:v>
      </x:c>
      <x:c r="H804" s="11" t="n">
        <x:v>2610</x:v>
      </x:c>
      <x:c r="I804" s="11" t="n">
        <x:v>6</x:v>
      </x:c>
      <x:c r="J804" s="11" t="n">
        <x:v>919</x:v>
      </x:c>
      <x:c r="K804" s="9" t="str">
        <x:v>Чт</x:v>
      </x:c>
      <x:c r="L804" s="10" t="n">
        <x:v>60.85</x:v>
      </x:c>
      <x:c r="M804" s="31" t="n">
        <x:v>18161.2</x:v>
      </x:c>
    </x:row>
    <x:row r="805" ht="23" customHeight="1">
      <x:c r="A805" s="12" t="n">
        <x:v>10800</x:v>
      </x:c>
      <x:c r="B805" s="32" t="n">
        <x:v>131.3</x:v>
      </x:c>
      <x:c r="C805" s="32" t="n">
        <x:v>81.7</x:v>
      </x:c>
      <x:c r="D805" s="12" t="n">
        <x:v>5</x:v>
      </x:c>
      <x:c r="E805" s="12" t="n">
        <x:v>12</x:v>
      </x:c>
      <x:c r="F805" s="12" t="n">
        <x:v>2005</x:v>
      </x:c>
      <x:c r="G805" s="32" t="n">
        <x:v>34</x:v>
      </x:c>
      <x:c r="H805" s="12" t="n">
        <x:v>2772</x:v>
      </x:c>
      <x:c r="I805" s="12" t="n">
        <x:v>4</x:v>
      </x:c>
      <x:c r="J805" s="12" t="n">
        <x:v>640</x:v>
      </x:c>
      <x:c r="K805" s="3" t="str">
        <x:v>Вт</x:v>
      </x:c>
      <x:c r="L805" s="8" t="n">
        <x:v>80.84</x:v>
      </x:c>
      <x:c r="M805" s="32" t="n">
        <x:v>23147.5</x:v>
      </x:c>
    </x:row>
  </x:sheetData>
  <x:pageMargins left="0.7" right="0.7" top="0.75" bottom="0.75" header="0.3" footer="0.3"/>
</x:worksheet>
</file>